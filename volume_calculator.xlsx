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מחשבון נפח קובע" sheetId="1" state="visible" r:id="rId1"/>
    <sheet xmlns:r="http://schemas.openxmlformats.org/officeDocument/2006/relationships" name="הסבר" sheetId="2" state="visible" r:id="rId2"/>
    <sheet xmlns:r="http://schemas.openxmlformats.org/officeDocument/2006/relationships" name="גיליון1" sheetId="3" state="visible" r:id="rId3"/>
    <sheet xmlns:r="http://schemas.openxmlformats.org/officeDocument/2006/relationships" name="HCM Input" sheetId="4" state="visible" r:id="rId4"/>
    <sheet xmlns:r="http://schemas.openxmlformats.org/officeDocument/2006/relationships" name="HCM Delay" sheetId="5" state="visible" r:id="rId5"/>
    <sheet xmlns:r="http://schemas.openxmlformats.org/officeDocument/2006/relationships" name="HCM 95th Queue" sheetId="6" state="visible" r:id="rId6"/>
  </sheets>
  <definedNames>
    <definedName name="solver_adj" localSheetId="0" hidden="1">'מחשבון נפח קובע'!$C$10:$D$10,'מחשבון נפח קובע'!$H$10:$I$10,'מחשבון נפח קובע'!$D$11:$F$11,'מחשבון נפח קובע'!$H$11,'מחשבון נפח קובע'!$F$12:$I$12,'מחשבון נפח קובע'!$K$10:$L$10,'מחשבון נפח קובע'!$P$10:$Q$10,'מחשבון נפח קובע'!$L$11:$N$11,'מחשבון נפח קובע'!$P$11,'מחשבון נפח קובע'!$N$12:$Q$12,'מחשבון נפח קובע'!$S$10:$T$10,'מחשבון נפח קובע'!$X$10:$Y$10,'מחשבון נפח קובע'!$T$11:$V$11,'מחשבון נפח קובע'!$X$11,'מחשבון נפח קובע'!$V$12:$Y$12,'מחשבון נפח קובע'!$AA$10:$AB$10,'מחשבון נפח קובע'!$AF$10:$AG$10,'מחשבון נפח קובע'!$AB$11:$AD$11,'מחשבון נפח קובע'!$AF$11,'מחשבון נפח קובע'!$AD$12:$AG$12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'מחשבון נפח קובע'!$J$11</definedName>
    <definedName name="solver_lhs10" localSheetId="0" hidden="1">'מחשבון נפח קובע'!$J$12</definedName>
    <definedName name="solver_lhs11" localSheetId="0" hidden="1">'מחשבון נפח קובע'!$J$10</definedName>
    <definedName name="solver_lhs12" localSheetId="0" hidden="1">'מחשבון נפח קובע'!$Z$11</definedName>
    <definedName name="solver_lhs2" localSheetId="0" hidden="1">'מחשבון נפח קובע'!$AH$12</definedName>
    <definedName name="solver_lhs3" localSheetId="0" hidden="1">'מחשבון נפח קובע'!$R$11</definedName>
    <definedName name="solver_lhs4" localSheetId="0" hidden="1">'מחשבון נפח קובע'!$R$10</definedName>
    <definedName name="solver_lhs5" localSheetId="0" hidden="1">'מחשבון נפח קובע'!$R$12</definedName>
    <definedName name="solver_lhs6" localSheetId="0" hidden="1">'מחשבון נפח קובע'!$AH$11</definedName>
    <definedName name="solver_lhs7" localSheetId="0" hidden="1">'מחשבון נפח קובע'!$AH$10</definedName>
    <definedName name="solver_lhs8" localSheetId="0" hidden="1">'מחשבון נפח קובע'!$Z$12</definedName>
    <definedName name="solver_lhs9" localSheetId="0" hidden="1">'מחשבון נפח קובע'!$Z$10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1</definedName>
    <definedName name="solver_neg" localSheetId="0" hidden="1">1</definedName>
    <definedName name="solver_nod" localSheetId="0" hidden="1">2147483647</definedName>
    <definedName name="solver_num" localSheetId="0" hidden="1">12</definedName>
    <definedName name="solver_nwt" localSheetId="0" hidden="1">1</definedName>
    <definedName name="solver_opt" localSheetId="0" hidden="1">'מחשבון נפח קובע'!$B$15</definedName>
    <definedName name="solver_pre" localSheetId="0" hidden="1">0.0001</definedName>
    <definedName name="solver_rbv" localSheetId="0" hidden="1">2</definedName>
    <definedName name="solver_rel1" localSheetId="0" hidden="1">2</definedName>
    <definedName name="solver_rel10" localSheetId="0" hidden="1">2</definedName>
    <definedName name="solver_rel11" localSheetId="0" hidden="1">2</definedName>
    <definedName name="solver_rel12" localSheetId="0" hidden="1">2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el5" localSheetId="0" hidden="1">2</definedName>
    <definedName name="solver_rel6" localSheetId="0" hidden="1">2</definedName>
    <definedName name="solver_rel7" localSheetId="0" hidden="1">2</definedName>
    <definedName name="solver_rel8" localSheetId="0" hidden="1">2</definedName>
    <definedName name="solver_rel9" localSheetId="0" hidden="1">2</definedName>
    <definedName name="solver_rhs1" localSheetId="0" hidden="1">'מחשבון נפח קובע'!$E$4</definedName>
    <definedName name="solver_rhs10" localSheetId="0" hidden="1">'מחשבון נפח קובע'!$F$4</definedName>
    <definedName name="solver_rhs11" localSheetId="0" hidden="1">'מחשבון נפח קובע'!$AJ$12</definedName>
    <definedName name="solver_rhs12" localSheetId="0" hidden="1">'מחשבון נפח קובע'!$M$4</definedName>
    <definedName name="solver_rhs2" localSheetId="0" hidden="1">'מחשבון נפח קובע'!$R$4</definedName>
    <definedName name="solver_rhs3" localSheetId="0" hidden="1">'מחשבון נפח קובע'!$I$4</definedName>
    <definedName name="solver_rhs4" localSheetId="0" hidden="1">'מחשבון נפח קובע'!$AK$12</definedName>
    <definedName name="solver_rhs5" localSheetId="0" hidden="1">'מחשבון נפח קובע'!$J$4</definedName>
    <definedName name="solver_rhs6" localSheetId="0" hidden="1">'מחשבון נפח קובע'!$Q$4</definedName>
    <definedName name="solver_rhs7" localSheetId="0" hidden="1">'מחשבון נפח קובע'!$AM$12</definedName>
    <definedName name="solver_rhs8" localSheetId="0" hidden="1">'מחשבון נפח קובע'!$N$4</definedName>
    <definedName name="solver_rhs9" localSheetId="0" hidden="1">'מחשבון נפח קובע'!$AL$12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2">
    <font>
      <name val="Assistant"/>
      <charset val="177"/>
      <family val="2"/>
      <color theme="1"/>
      <sz val="11"/>
      <scheme val="minor"/>
    </font>
    <font>
      <name val="Assistant"/>
      <charset val="177"/>
      <family val="2"/>
      <color rgb="FF3F3F76"/>
      <sz val="11"/>
      <scheme val="minor"/>
    </font>
    <font>
      <name val="Assistant"/>
      <charset val="177"/>
      <family val="2"/>
      <b val="1"/>
      <color rgb="FFFA7D00"/>
      <sz val="11"/>
      <scheme val="minor"/>
    </font>
    <font>
      <name val="Assistant"/>
      <charset val="177"/>
      <family val="2"/>
      <b val="1"/>
      <color rgb="FF3F3F3F"/>
      <sz val="11"/>
      <scheme val="minor"/>
    </font>
    <font>
      <name val="Assistant"/>
      <charset val="177"/>
      <family val="2"/>
      <color theme="1"/>
      <sz val="11"/>
      <scheme val="minor"/>
    </font>
    <font>
      <name val="Assistant"/>
      <charset val="177"/>
      <family val="2"/>
      <b val="1"/>
      <color theme="0"/>
      <sz val="11"/>
      <scheme val="minor"/>
    </font>
    <font>
      <name val="Assistant"/>
      <color theme="1"/>
      <sz val="11"/>
    </font>
    <font>
      <name val="Assistant"/>
      <color rgb="FF3F3F76"/>
      <sz val="11"/>
    </font>
    <font>
      <name val="Assistant"/>
      <b val="1"/>
      <color rgb="FFFA7D00"/>
      <sz val="11"/>
    </font>
    <font>
      <name val="Assistant"/>
      <b val="1"/>
      <color rgb="FF3F3F3F"/>
      <sz val="11"/>
    </font>
    <font>
      <name val="Assistant"/>
      <color theme="1"/>
      <sz val="20"/>
    </font>
    <font>
      <name val="Assistant"/>
      <b val="1"/>
      <color theme="1"/>
      <sz val="11"/>
    </font>
    <font>
      <name val="Assistant"/>
      <b val="1"/>
      <color theme="1"/>
      <sz val="12"/>
    </font>
    <font>
      <name val="Assistant"/>
      <color rgb="FF3F3F76"/>
      <sz val="12"/>
    </font>
    <font>
      <name val="Assistant"/>
      <b val="1"/>
      <color theme="0" tint="-0.0499893185216834"/>
      <sz val="12"/>
    </font>
    <font>
      <name val="Traffic Arrows"/>
      <family val="3"/>
      <b val="1"/>
      <color theme="1"/>
      <sz val="11"/>
    </font>
    <font>
      <name val="Assistant"/>
      <b val="1"/>
      <color theme="1"/>
      <sz val="16"/>
    </font>
    <font>
      <name val="Assistant"/>
      <b val="1"/>
      <color theme="0" tint="-0.0499893185216834"/>
      <sz val="11"/>
    </font>
    <font>
      <name val="Assistant"/>
      <color theme="1"/>
      <sz val="12"/>
    </font>
    <font>
      <name val="Assistant"/>
      <b val="1"/>
      <color rgb="FF3F3F76"/>
      <sz val="12"/>
    </font>
    <font>
      <name val="Assistant"/>
      <b val="1"/>
      <color theme="0"/>
      <sz val="12"/>
    </font>
    <font>
      <name val="Calibri"/>
      <b val="1"/>
      <color rgb="00FFFFFF"/>
      <sz val="14"/>
    </font>
    <font>
      <name val="Calibri"/>
      <i val="1"/>
      <color rgb="00BBBBBB"/>
      <sz val="9"/>
    </font>
    <font>
      <name val="Calibri"/>
      <b val="1"/>
      <color rgb="00FFFFFF"/>
      <sz val="10"/>
    </font>
    <font>
      <name val="Calibri"/>
      <i val="1"/>
      <color rgb="00666666"/>
      <sz val="9"/>
    </font>
    <font>
      <name val="Calibri"/>
      <color rgb="00000000"/>
      <sz val="10"/>
    </font>
    <font>
      <name val="Calibri"/>
      <b val="1"/>
      <color rgb="001A3A6B"/>
      <sz val="10"/>
    </font>
    <font>
      <name val="Calibri"/>
      <color rgb="00666666"/>
      <sz val="9"/>
    </font>
    <font>
      <name val="Calibri"/>
      <color rgb="001A5276"/>
      <sz val="10"/>
    </font>
    <font>
      <name val="Calibri"/>
      <b val="1"/>
      <color rgb="001E7A47"/>
      <sz val="9"/>
    </font>
    <font>
      <name val="Calibri"/>
      <color rgb="001E7A47"/>
      <sz val="9"/>
    </font>
    <font>
      <name val="Calibri"/>
      <b val="1"/>
      <color rgb="001A5276"/>
      <sz val="9"/>
    </font>
    <font>
      <name val="Calibri"/>
      <color rgb="001A5276"/>
      <sz val="9"/>
    </font>
    <font>
      <name val="Calibri"/>
      <b val="1"/>
      <color rgb="007D6608"/>
      <sz val="9"/>
    </font>
    <font>
      <name val="Calibri"/>
      <color rgb="007D6608"/>
      <sz val="9"/>
    </font>
    <font>
      <name val="Calibri"/>
      <b val="1"/>
      <color rgb="00B15500"/>
      <sz val="9"/>
    </font>
    <font>
      <name val="Calibri"/>
      <color rgb="00B15500"/>
      <sz val="9"/>
    </font>
    <font>
      <name val="Calibri"/>
      <b val="1"/>
      <color rgb="00B71C1C"/>
      <sz val="9"/>
    </font>
    <font>
      <name val="Calibri"/>
      <color rgb="00B71C1C"/>
      <sz val="9"/>
    </font>
    <font>
      <name val="Calibri"/>
      <b val="1"/>
      <color rgb="00FFFFFF"/>
      <sz val="9"/>
    </font>
    <font>
      <name val="Calibri"/>
      <color rgb="00FFFFFF"/>
      <sz val="9"/>
    </font>
    <font>
      <name val="Calibri"/>
      <b val="1"/>
      <color rgb="00000000"/>
      <sz val="10"/>
    </font>
  </fonts>
  <fills count="34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A5A5A5"/>
      </patternFill>
    </fill>
    <fill>
      <patternFill patternType="solid">
        <fgColor theme="2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-0.0999786370433668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-0.749992370372631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000D1B2A"/>
      </patternFill>
    </fill>
    <fill>
      <patternFill patternType="solid">
        <fgColor rgb="001B3A5C"/>
      </patternFill>
    </fill>
    <fill>
      <patternFill patternType="solid">
        <fgColor rgb="002C3E6B"/>
      </patternFill>
    </fill>
    <fill>
      <patternFill patternType="solid">
        <fgColor rgb="00FFFCE8"/>
      </patternFill>
    </fill>
    <fill>
      <patternFill patternType="solid">
        <fgColor rgb="001A3A6B"/>
      </patternFill>
    </fill>
    <fill>
      <patternFill patternType="solid">
        <fgColor rgb="00EBF5FB"/>
      </patternFill>
    </fill>
    <fill>
      <patternFill patternType="solid">
        <fgColor rgb="00C6EFCE"/>
      </patternFill>
    </fill>
    <fill>
      <patternFill patternType="solid">
        <fgColor rgb="00DDEEFF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CC2200"/>
      </patternFill>
    </fill>
    <fill>
      <patternFill patternType="solid">
        <fgColor rgb="00E8F4FD"/>
      </patternFill>
    </fill>
    <fill>
      <patternFill patternType="solid">
        <fgColor rgb="00F0F0F8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CE4EC"/>
      </patternFill>
    </fill>
  </fills>
  <borders count="5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rgb="FF3F3F3F"/>
      </bottom>
      <diagonal/>
    </border>
    <border>
      <left style="medium">
        <color indexed="64"/>
      </left>
      <right style="medium">
        <color indexed="64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/>
      <bottom style="thin">
        <color rgb="FF7F7F7F"/>
      </bottom>
      <diagonal/>
    </border>
    <border>
      <left style="double">
        <color rgb="FF3F3F3F"/>
      </left>
      <right style="medium">
        <color indexed="64"/>
      </right>
      <top/>
      <bottom style="double">
        <color rgb="FF3F3F3F"/>
      </bottom>
      <diagonal/>
    </border>
    <border>
      <left style="double">
        <color rgb="FF3F3F3F"/>
      </left>
      <right style="medium">
        <color indexed="64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rgb="FF7F7F7F"/>
      </right>
      <top/>
      <bottom style="medium">
        <color indexed="64"/>
      </bottom>
      <diagonal/>
    </border>
    <border>
      <left style="double">
        <color rgb="FF3F3F3F"/>
      </left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0033557A"/>
      </left>
      <right style="thin">
        <color rgb="0033557A"/>
      </right>
      <top style="thin">
        <color rgb="0033557A"/>
      </top>
      <bottom style="thin">
        <color rgb="0033557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4" fillId="0" borderId="0"/>
    <xf numFmtId="0" fontId="1" fillId="2" borderId="1"/>
    <xf numFmtId="0" fontId="2" fillId="3" borderId="1"/>
    <xf numFmtId="0" fontId="3" fillId="3" borderId="6"/>
    <xf numFmtId="0" fontId="4" fillId="5" borderId="0"/>
    <xf numFmtId="0" fontId="5" fillId="7" borderId="19"/>
  </cellStyleXfs>
  <cellXfs count="214">
    <xf numFmtId="0" fontId="0" fillId="0" borderId="0" pivotButton="0" quotePrefix="0" xfId="0"/>
    <xf numFmtId="0" fontId="0" fillId="0" borderId="9" pivotButton="0" quotePrefix="0" xfId="0"/>
    <xf numFmtId="0" fontId="0" fillId="0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6" fillId="0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readingOrder="2"/>
    </xf>
    <xf numFmtId="3" fontId="6" fillId="0" borderId="0" applyAlignment="1" pivotButton="0" quotePrefix="0" xfId="0">
      <alignment readingOrder="2"/>
    </xf>
    <xf numFmtId="0" fontId="11" fillId="8" borderId="4" applyAlignment="1" pivotButton="0" quotePrefix="0" xfId="0">
      <alignment horizontal="center" vertical="center" readingOrder="2"/>
    </xf>
    <xf numFmtId="0" fontId="11" fillId="8" borderId="5" applyAlignment="1" pivotButton="0" quotePrefix="0" xfId="0">
      <alignment horizontal="center" vertical="center" readingOrder="2"/>
    </xf>
    <xf numFmtId="0" fontId="11" fillId="8" borderId="8" applyAlignment="1" pivotButton="0" quotePrefix="0" xfId="0">
      <alignment horizontal="center" vertical="center" readingOrder="2"/>
    </xf>
    <xf numFmtId="0" fontId="11" fillId="9" borderId="4" applyAlignment="1" pivotButton="0" quotePrefix="0" xfId="0">
      <alignment horizontal="center" vertical="center" readingOrder="2"/>
    </xf>
    <xf numFmtId="0" fontId="11" fillId="9" borderId="5" applyAlignment="1" pivotButton="0" quotePrefix="0" xfId="0">
      <alignment horizontal="center" vertical="center" readingOrder="2"/>
    </xf>
    <xf numFmtId="0" fontId="11" fillId="9" borderId="8" applyAlignment="1" pivotButton="0" quotePrefix="0" xfId="0">
      <alignment horizontal="center" vertical="center" readingOrder="2"/>
    </xf>
    <xf numFmtId="0" fontId="11" fillId="10" borderId="4" applyAlignment="1" pivotButton="0" quotePrefix="0" xfId="0">
      <alignment horizontal="center" vertical="center" readingOrder="2"/>
    </xf>
    <xf numFmtId="0" fontId="11" fillId="10" borderId="5" applyAlignment="1" pivotButton="0" quotePrefix="0" xfId="0">
      <alignment horizontal="center" vertical="center" readingOrder="2"/>
    </xf>
    <xf numFmtId="0" fontId="11" fillId="10" borderId="8" applyAlignment="1" pivotButton="0" quotePrefix="0" xfId="0">
      <alignment horizontal="center" vertical="center" readingOrder="2"/>
    </xf>
    <xf numFmtId="0" fontId="11" fillId="11" borderId="4" applyAlignment="1" pivotButton="0" quotePrefix="0" xfId="0">
      <alignment horizontal="center" vertical="center" readingOrder="2"/>
    </xf>
    <xf numFmtId="0" fontId="11" fillId="11" borderId="5" applyAlignment="1" pivotButton="0" quotePrefix="0" xfId="0">
      <alignment horizontal="center" vertical="center" readingOrder="2"/>
    </xf>
    <xf numFmtId="0" fontId="11" fillId="11" borderId="8" applyAlignment="1" pivotButton="0" quotePrefix="0" xfId="0">
      <alignment horizontal="center" vertical="center" readingOrder="2"/>
    </xf>
    <xf numFmtId="0" fontId="12" fillId="8" borderId="13" applyAlignment="1" pivotButton="0" quotePrefix="0" xfId="0">
      <alignment horizontal="center" vertical="center" readingOrder="2"/>
    </xf>
    <xf numFmtId="0" fontId="12" fillId="9" borderId="9" applyAlignment="1" pivotButton="0" quotePrefix="0" xfId="0">
      <alignment horizontal="center" vertical="center" readingOrder="2"/>
    </xf>
    <xf numFmtId="0" fontId="12" fillId="10" borderId="9" applyAlignment="1" pivotButton="0" quotePrefix="0" xfId="0">
      <alignment horizontal="center" vertical="center" readingOrder="2"/>
    </xf>
    <xf numFmtId="0" fontId="12" fillId="11" borderId="14" applyAlignment="1" pivotButton="0" quotePrefix="0" xfId="0">
      <alignment horizontal="center" vertical="center" readingOrder="2"/>
    </xf>
    <xf numFmtId="0" fontId="17" fillId="13" borderId="18" applyAlignment="1" pivotButton="0" quotePrefix="0" xfId="4">
      <alignment horizontal="center" vertical="center" readingOrder="2"/>
    </xf>
    <xf numFmtId="3" fontId="7" fillId="4" borderId="37" applyAlignment="1" applyProtection="1" pivotButton="0" quotePrefix="0" xfId="1">
      <alignment horizontal="center" vertical="center" readingOrder="2"/>
      <protection locked="0" hidden="1"/>
    </xf>
    <xf numFmtId="3" fontId="7" fillId="4" borderId="1" applyAlignment="1" applyProtection="1" pivotButton="0" quotePrefix="0" xfId="1">
      <alignment horizontal="center" vertical="center" readingOrder="2"/>
      <protection locked="0" hidden="1"/>
    </xf>
    <xf numFmtId="3" fontId="7" fillId="4" borderId="38" applyAlignment="1" applyProtection="1" pivotButton="0" quotePrefix="0" xfId="1">
      <alignment horizontal="center" vertical="center" readingOrder="2"/>
      <protection locked="0" hidden="1"/>
    </xf>
    <xf numFmtId="3" fontId="13" fillId="4" borderId="34" applyAlignment="1" applyProtection="1" pivotButton="0" quotePrefix="0" xfId="1">
      <alignment horizontal="center" vertical="center" readingOrder="2"/>
      <protection locked="0" hidden="1"/>
    </xf>
    <xf numFmtId="3" fontId="13" fillId="4" borderId="35" applyAlignment="1" applyProtection="1" pivotButton="0" quotePrefix="0" xfId="1">
      <alignment horizontal="center" vertical="center" readingOrder="2"/>
      <protection locked="0" hidden="1"/>
    </xf>
    <xf numFmtId="3" fontId="13" fillId="4" borderId="36" applyAlignment="1" applyProtection="1" pivotButton="0" quotePrefix="0" xfId="1">
      <alignment horizontal="center" vertical="center" readingOrder="2"/>
      <protection locked="0" hidden="1"/>
    </xf>
    <xf numFmtId="0" fontId="8" fillId="3" borderId="1" applyAlignment="1" pivotButton="0" quotePrefix="0" xfId="2">
      <alignment readingOrder="2"/>
    </xf>
    <xf numFmtId="0" fontId="17" fillId="12" borderId="18" applyAlignment="1" pivotButton="0" quotePrefix="0" xfId="4">
      <alignment horizontal="center" vertical="center" readingOrder="2"/>
    </xf>
    <xf numFmtId="3" fontId="7" fillId="4" borderId="34" applyAlignment="1" applyProtection="1" pivotButton="0" quotePrefix="0" xfId="1">
      <alignment horizontal="center" vertical="center" readingOrder="2"/>
      <protection locked="0" hidden="1"/>
    </xf>
    <xf numFmtId="3" fontId="7" fillId="4" borderId="35" applyAlignment="1" applyProtection="1" pivotButton="0" quotePrefix="0" xfId="1">
      <alignment horizontal="center" vertical="center" readingOrder="2"/>
      <protection locked="0" hidden="1"/>
    </xf>
    <xf numFmtId="3" fontId="7" fillId="4" borderId="36" applyAlignment="1" applyProtection="1" pivotButton="0" quotePrefix="0" xfId="1">
      <alignment horizontal="center" vertical="center" readingOrder="2"/>
      <protection locked="0" hidden="1"/>
    </xf>
    <xf numFmtId="0" fontId="11" fillId="8" borderId="29" applyAlignment="1" pivotButton="0" quotePrefix="0" xfId="0">
      <alignment horizontal="center" vertical="center" readingOrder="2"/>
    </xf>
    <xf numFmtId="0" fontId="11" fillId="8" borderId="7" applyAlignment="1" pivotButton="0" quotePrefix="0" xfId="0">
      <alignment horizontal="center" vertical="center" readingOrder="2"/>
    </xf>
    <xf numFmtId="0" fontId="11" fillId="9" borderId="29" applyAlignment="1" pivotButton="0" quotePrefix="0" xfId="0">
      <alignment horizontal="center" vertical="center" readingOrder="2"/>
    </xf>
    <xf numFmtId="0" fontId="11" fillId="9" borderId="7" applyAlignment="1" pivotButton="0" quotePrefix="0" xfId="0">
      <alignment horizontal="center" vertical="center" readingOrder="2"/>
    </xf>
    <xf numFmtId="0" fontId="11" fillId="10" borderId="29" applyAlignment="1" pivotButton="0" quotePrefix="0" xfId="0">
      <alignment horizontal="center" vertical="center" readingOrder="2"/>
    </xf>
    <xf numFmtId="0" fontId="11" fillId="10" borderId="7" applyAlignment="1" pivotButton="0" quotePrefix="0" xfId="0">
      <alignment horizontal="center" vertical="center" readingOrder="2"/>
    </xf>
    <xf numFmtId="0" fontId="11" fillId="11" borderId="29" applyAlignment="1" pivotButton="0" quotePrefix="0" xfId="0">
      <alignment horizontal="center" vertical="center" readingOrder="2"/>
    </xf>
    <xf numFmtId="0" fontId="11" fillId="11" borderId="7" applyAlignment="1" pivotButton="0" quotePrefix="0" xfId="0">
      <alignment horizontal="center" vertical="center" readingOrder="2"/>
    </xf>
    <xf numFmtId="0" fontId="17" fillId="12" borderId="20" applyAlignment="1" pivotButton="0" quotePrefix="0" xfId="4">
      <alignment horizontal="center" vertical="center" readingOrder="2"/>
    </xf>
    <xf numFmtId="0" fontId="7" fillId="4" borderId="18" applyAlignment="1" pivotButton="0" quotePrefix="0" xfId="1">
      <alignment horizontal="center" readingOrder="2"/>
    </xf>
    <xf numFmtId="0" fontId="7" fillId="4" borderId="21" applyAlignment="1" pivotButton="0" quotePrefix="0" xfId="1">
      <alignment horizontal="center" readingOrder="2"/>
    </xf>
    <xf numFmtId="0" fontId="6" fillId="0" borderId="0" applyAlignment="1" pivotButton="0" quotePrefix="0" xfId="0">
      <alignment horizontal="center" readingOrder="2"/>
    </xf>
    <xf numFmtId="0" fontId="17" fillId="16" borderId="20" applyAlignment="1" pivotButton="0" quotePrefix="0" xfId="4">
      <alignment horizontal="center" vertical="center" readingOrder="2"/>
    </xf>
    <xf numFmtId="0" fontId="8" fillId="3" borderId="10" applyAlignment="1" pivotButton="0" quotePrefix="0" xfId="2">
      <alignment horizontal="center" vertical="center" readingOrder="2"/>
    </xf>
    <xf numFmtId="0" fontId="8" fillId="3" borderId="0" applyAlignment="1" pivotButton="0" quotePrefix="0" xfId="2">
      <alignment horizontal="center" vertical="center" readingOrder="2"/>
    </xf>
    <xf numFmtId="0" fontId="8" fillId="3" borderId="11" applyAlignment="1" pivotButton="0" quotePrefix="0" xfId="2">
      <alignment horizontal="center" vertical="center" readingOrder="2"/>
    </xf>
    <xf numFmtId="0" fontId="8" fillId="3" borderId="10" applyAlignment="1" pivotButton="0" quotePrefix="0" xfId="2">
      <alignment readingOrder="2"/>
    </xf>
    <xf numFmtId="0" fontId="8" fillId="3" borderId="0" applyAlignment="1" pivotButton="0" quotePrefix="0" xfId="2">
      <alignment readingOrder="2"/>
    </xf>
    <xf numFmtId="0" fontId="8" fillId="3" borderId="11" applyAlignment="1" pivotButton="0" quotePrefix="0" xfId="2">
      <alignment readingOrder="2"/>
    </xf>
    <xf numFmtId="0" fontId="6" fillId="0" borderId="10" applyAlignment="1" pivotButton="0" quotePrefix="0" xfId="0">
      <alignment horizontal="center" vertical="center" readingOrder="2"/>
    </xf>
    <xf numFmtId="0" fontId="6" fillId="0" borderId="11" applyAlignment="1" pivotButton="0" quotePrefix="0" xfId="0">
      <alignment horizontal="center" vertical="center" readingOrder="2"/>
    </xf>
    <xf numFmtId="0" fontId="6" fillId="0" borderId="10" applyAlignment="1" pivotButton="0" quotePrefix="0" xfId="0">
      <alignment readingOrder="2"/>
    </xf>
    <xf numFmtId="0" fontId="6" fillId="0" borderId="11" applyAlignment="1" pivotButton="0" quotePrefix="0" xfId="0">
      <alignment readingOrder="2"/>
    </xf>
    <xf numFmtId="1" fontId="6" fillId="0" borderId="0" applyAlignment="1" pivotButton="0" quotePrefix="0" xfId="0">
      <alignment horizontal="center" vertical="center" readingOrder="2"/>
    </xf>
    <xf numFmtId="1" fontId="9" fillId="3" borderId="10" applyAlignment="1" pivotButton="0" quotePrefix="0" xfId="3">
      <alignment horizontal="center" vertical="center" readingOrder="2"/>
    </xf>
    <xf numFmtId="1" fontId="9" fillId="3" borderId="0" applyAlignment="1" pivotButton="0" quotePrefix="0" xfId="3">
      <alignment horizontal="center" vertical="center" readingOrder="2"/>
    </xf>
    <xf numFmtId="1" fontId="9" fillId="3" borderId="11" applyAlignment="1" pivotButton="0" quotePrefix="0" xfId="3">
      <alignment horizontal="center" vertical="center" readingOrder="2"/>
    </xf>
    <xf numFmtId="1" fontId="9" fillId="3" borderId="10" applyAlignment="1" pivotButton="0" quotePrefix="0" xfId="3">
      <alignment readingOrder="2"/>
    </xf>
    <xf numFmtId="1" fontId="9" fillId="3" borderId="0" applyAlignment="1" pivotButton="0" quotePrefix="0" xfId="3">
      <alignment readingOrder="2"/>
    </xf>
    <xf numFmtId="1" fontId="9" fillId="3" borderId="11" applyAlignment="1" pivotButton="0" quotePrefix="0" xfId="3">
      <alignment readingOrder="2"/>
    </xf>
    <xf numFmtId="1" fontId="6" fillId="0" borderId="0" applyAlignment="1" pivotButton="0" quotePrefix="0" xfId="0">
      <alignment readingOrder="2"/>
    </xf>
    <xf numFmtId="1" fontId="8" fillId="3" borderId="1" applyAlignment="1" pivotButton="0" quotePrefix="0" xfId="2">
      <alignment readingOrder="2"/>
    </xf>
    <xf numFmtId="1" fontId="6" fillId="0" borderId="10" applyAlignment="1" pivotButton="0" quotePrefix="0" xfId="0">
      <alignment horizontal="center" vertical="center" readingOrder="2"/>
    </xf>
    <xf numFmtId="1" fontId="6" fillId="0" borderId="11" applyAlignment="1" pivotButton="0" quotePrefix="0" xfId="0">
      <alignment horizontal="center" vertical="center" readingOrder="2"/>
    </xf>
    <xf numFmtId="1" fontId="6" fillId="0" borderId="10" applyAlignment="1" pivotButton="0" quotePrefix="0" xfId="0">
      <alignment readingOrder="2"/>
    </xf>
    <xf numFmtId="1" fontId="6" fillId="0" borderId="11" applyAlignment="1" pivotButton="0" quotePrefix="0" xfId="0">
      <alignment readingOrder="2"/>
    </xf>
    <xf numFmtId="1" fontId="8" fillId="3" borderId="1" applyAlignment="1" pivotButton="0" quotePrefix="0" xfId="2">
      <alignment horizontal="center" readingOrder="2"/>
    </xf>
    <xf numFmtId="1" fontId="9" fillId="3" borderId="6" applyAlignment="1" pivotButton="0" quotePrefix="0" xfId="3">
      <alignment readingOrder="2"/>
    </xf>
    <xf numFmtId="0" fontId="9" fillId="3" borderId="0" applyAlignment="1" pivotButton="0" quotePrefix="0" xfId="3">
      <alignment horizontal="center" vertical="center" readingOrder="2"/>
    </xf>
    <xf numFmtId="0" fontId="9" fillId="3" borderId="0" applyAlignment="1" pivotButton="0" quotePrefix="0" xfId="3">
      <alignment readingOrder="2"/>
    </xf>
    <xf numFmtId="0" fontId="18" fillId="0" borderId="0" applyAlignment="1" pivotButton="0" quotePrefix="0" xfId="0">
      <alignment horizontal="center" readingOrder="2"/>
    </xf>
    <xf numFmtId="0" fontId="19" fillId="15" borderId="39" applyAlignment="1" pivotButton="0" quotePrefix="0" xfId="1">
      <alignment horizontal="center" readingOrder="2"/>
    </xf>
    <xf numFmtId="0" fontId="20" fillId="14" borderId="40" applyAlignment="1" pivotButton="0" quotePrefix="0" xfId="5">
      <alignment horizontal="center" readingOrder="2"/>
    </xf>
    <xf numFmtId="0" fontId="19" fillId="15" borderId="28" applyAlignment="1" pivotButton="0" quotePrefix="0" xfId="1">
      <alignment horizontal="center" readingOrder="2"/>
    </xf>
    <xf numFmtId="0" fontId="20" fillId="14" borderId="24" applyAlignment="1" pivotButton="0" quotePrefix="0" xfId="5">
      <alignment horizontal="center" readingOrder="2"/>
    </xf>
    <xf numFmtId="0" fontId="19" fillId="15" borderId="37" applyAlignment="1" pivotButton="0" quotePrefix="0" xfId="1">
      <alignment horizontal="center" readingOrder="2"/>
    </xf>
    <xf numFmtId="0" fontId="20" fillId="14" borderId="41" applyAlignment="1" pivotButton="0" quotePrefix="0" xfId="5">
      <alignment horizontal="center" readingOrder="2"/>
    </xf>
    <xf numFmtId="0" fontId="19" fillId="15" borderId="22" applyAlignment="1" pivotButton="0" quotePrefix="0" xfId="1">
      <alignment horizontal="center" readingOrder="2"/>
    </xf>
    <xf numFmtId="0" fontId="20" fillId="14" borderId="25" applyAlignment="1" pivotButton="0" quotePrefix="0" xfId="5">
      <alignment horizontal="center" readingOrder="2"/>
    </xf>
    <xf numFmtId="3" fontId="6" fillId="0" borderId="0" applyAlignment="1" pivotButton="0" quotePrefix="0" xfId="0">
      <alignment horizontal="center" vertical="center" readingOrder="2"/>
    </xf>
    <xf numFmtId="0" fontId="19" fillId="15" borderId="23" applyAlignment="1" pivotButton="0" quotePrefix="0" xfId="1">
      <alignment horizontal="center" readingOrder="2"/>
    </xf>
    <xf numFmtId="0" fontId="20" fillId="14" borderId="26" applyAlignment="1" pivotButton="0" quotePrefix="0" xfId="5">
      <alignment horizontal="center" readingOrder="2"/>
    </xf>
    <xf numFmtId="0" fontId="19" fillId="15" borderId="4" applyAlignment="1" pivotButton="0" quotePrefix="0" xfId="1">
      <alignment horizontal="center" readingOrder="2"/>
    </xf>
    <xf numFmtId="0" fontId="20" fillId="14" borderId="27" applyAlignment="1" pivotButton="0" quotePrefix="0" xfId="5">
      <alignment horizontal="center" readingOrder="2"/>
    </xf>
    <xf numFmtId="0" fontId="19" fillId="15" borderId="42" applyAlignment="1" pivotButton="0" quotePrefix="0" xfId="1">
      <alignment horizontal="center" readingOrder="2"/>
    </xf>
    <xf numFmtId="0" fontId="20" fillId="14" borderId="43" applyAlignment="1" pivotButton="0" quotePrefix="0" xfId="5">
      <alignment horizontal="center" readingOrder="2"/>
    </xf>
    <xf numFmtId="0" fontId="20" fillId="14" borderId="44" applyAlignment="1" pivotButton="0" quotePrefix="0" xfId="5">
      <alignment horizontal="center" readingOrder="2"/>
    </xf>
    <xf numFmtId="0" fontId="20" fillId="14" borderId="4" applyAlignment="1" pivotButton="0" quotePrefix="0" xfId="5">
      <alignment horizontal="center" readingOrder="2"/>
    </xf>
    <xf numFmtId="0" fontId="19" fillId="15" borderId="45" applyAlignment="1" pivotButton="0" quotePrefix="0" xfId="1">
      <alignment horizontal="center" readingOrder="2"/>
    </xf>
    <xf numFmtId="0" fontId="19" fillId="15" borderId="46" applyAlignment="1" pivotButton="0" quotePrefix="0" xfId="1">
      <alignment horizontal="center" readingOrder="2"/>
    </xf>
    <xf numFmtId="0" fontId="19" fillId="15" borderId="47" applyAlignment="1" pivotButton="0" quotePrefix="0" xfId="1">
      <alignment horizontal="center" readingOrder="2"/>
    </xf>
    <xf numFmtId="1" fontId="6" fillId="0" borderId="0" applyAlignment="1" pivotButton="0" quotePrefix="0" xfId="0">
      <alignment horizontal="center" vertical="center" readingOrder="2"/>
    </xf>
    <xf numFmtId="0" fontId="16" fillId="8" borderId="10" applyAlignment="1" pivotButton="0" quotePrefix="0" xfId="0">
      <alignment horizontal="center" vertical="center" readingOrder="2"/>
    </xf>
    <xf numFmtId="0" fontId="16" fillId="8" borderId="0" applyAlignment="1" pivotButton="0" quotePrefix="0" xfId="0">
      <alignment horizontal="center" vertical="center" readingOrder="2"/>
    </xf>
    <xf numFmtId="0" fontId="16" fillId="8" borderId="11" applyAlignment="1" pivotButton="0" quotePrefix="0" xfId="0">
      <alignment horizontal="center" vertical="center" readingOrder="2"/>
    </xf>
    <xf numFmtId="0" fontId="16" fillId="8" borderId="4" applyAlignment="1" pivotButton="0" quotePrefix="0" xfId="0">
      <alignment horizontal="center" vertical="center" readingOrder="2"/>
    </xf>
    <xf numFmtId="0" fontId="16" fillId="8" borderId="5" applyAlignment="1" pivotButton="0" quotePrefix="0" xfId="0">
      <alignment horizontal="center" vertical="center" readingOrder="2"/>
    </xf>
    <xf numFmtId="0" fontId="16" fillId="8" borderId="8" applyAlignment="1" pivotButton="0" quotePrefix="0" xfId="0">
      <alignment horizontal="center" vertical="center" readingOrder="2"/>
    </xf>
    <xf numFmtId="1" fontId="10" fillId="6" borderId="18" applyAlignment="1" pivotButton="0" quotePrefix="0" xfId="0">
      <alignment horizontal="center" vertical="center" readingOrder="2"/>
    </xf>
    <xf numFmtId="0" fontId="6" fillId="0" borderId="3" applyAlignment="1" pivotButton="0" quotePrefix="0" xfId="0">
      <alignment horizontal="center" vertical="center" readingOrder="2"/>
    </xf>
    <xf numFmtId="0" fontId="6" fillId="0" borderId="7" applyAlignment="1" pivotButton="0" quotePrefix="0" xfId="0">
      <alignment horizontal="center" vertical="center" readingOrder="2"/>
    </xf>
    <xf numFmtId="0" fontId="6" fillId="0" borderId="1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center" vertical="center" readingOrder="2"/>
    </xf>
    <xf numFmtId="0" fontId="6" fillId="0" borderId="11" applyAlignment="1" pivotButton="0" quotePrefix="0" xfId="0">
      <alignment horizontal="center" vertical="center" readingOrder="2"/>
    </xf>
    <xf numFmtId="0" fontId="6" fillId="0" borderId="4" applyAlignment="1" pivotButton="0" quotePrefix="0" xfId="0">
      <alignment horizontal="center" vertical="center" readingOrder="2"/>
    </xf>
    <xf numFmtId="0" fontId="6" fillId="0" borderId="5" applyAlignment="1" pivotButton="0" quotePrefix="0" xfId="0">
      <alignment horizontal="center" vertical="center" readingOrder="2"/>
    </xf>
    <xf numFmtId="0" fontId="6" fillId="0" borderId="8" applyAlignment="1" pivotButton="0" quotePrefix="0" xfId="0">
      <alignment horizontal="center" vertical="center" readingOrder="2"/>
    </xf>
    <xf numFmtId="0" fontId="14" fillId="12" borderId="18" applyAlignment="1" pivotButton="0" quotePrefix="0" xfId="0">
      <alignment horizontal="center" readingOrder="2"/>
    </xf>
    <xf numFmtId="0" fontId="14" fillId="12" borderId="21" applyAlignment="1" pivotButton="0" quotePrefix="0" xfId="0">
      <alignment horizontal="center" readingOrder="2"/>
    </xf>
    <xf numFmtId="0" fontId="16" fillId="9" borderId="10" applyAlignment="1" pivotButton="0" quotePrefix="0" xfId="0">
      <alignment horizontal="center" vertical="center" readingOrder="2"/>
    </xf>
    <xf numFmtId="0" fontId="16" fillId="9" borderId="0" applyAlignment="1" pivotButton="0" quotePrefix="0" xfId="0">
      <alignment horizontal="center" vertical="center" readingOrder="2"/>
    </xf>
    <xf numFmtId="0" fontId="16" fillId="9" borderId="11" applyAlignment="1" pivotButton="0" quotePrefix="0" xfId="0">
      <alignment horizontal="center" vertical="center" readingOrder="2"/>
    </xf>
    <xf numFmtId="0" fontId="16" fillId="9" borderId="4" applyAlignment="1" pivotButton="0" quotePrefix="0" xfId="0">
      <alignment horizontal="center" vertical="center" readingOrder="2"/>
    </xf>
    <xf numFmtId="0" fontId="16" fillId="9" borderId="5" applyAlignment="1" pivotButton="0" quotePrefix="0" xfId="0">
      <alignment horizontal="center" vertical="center" readingOrder="2"/>
    </xf>
    <xf numFmtId="0" fontId="16" fillId="9" borderId="8" applyAlignment="1" pivotButton="0" quotePrefix="0" xfId="0">
      <alignment horizontal="center" vertical="center" readingOrder="2"/>
    </xf>
    <xf numFmtId="0" fontId="16" fillId="10" borderId="10" applyAlignment="1" pivotButton="0" quotePrefix="0" xfId="0">
      <alignment horizontal="center" vertical="center" readingOrder="2"/>
    </xf>
    <xf numFmtId="0" fontId="16" fillId="10" borderId="0" applyAlignment="1" pivotButton="0" quotePrefix="0" xfId="0">
      <alignment horizontal="center" vertical="center" readingOrder="2"/>
    </xf>
    <xf numFmtId="0" fontId="16" fillId="10" borderId="11" applyAlignment="1" pivotButton="0" quotePrefix="0" xfId="0">
      <alignment horizontal="center" vertical="center" readingOrder="2"/>
    </xf>
    <xf numFmtId="0" fontId="16" fillId="10" borderId="4" applyAlignment="1" pivotButton="0" quotePrefix="0" xfId="0">
      <alignment horizontal="center" vertical="center" readingOrder="2"/>
    </xf>
    <xf numFmtId="0" fontId="16" fillId="10" borderId="5" applyAlignment="1" pivotButton="0" quotePrefix="0" xfId="0">
      <alignment horizontal="center" vertical="center" readingOrder="2"/>
    </xf>
    <xf numFmtId="0" fontId="16" fillId="10" borderId="8" applyAlignment="1" pivotButton="0" quotePrefix="0" xfId="0">
      <alignment horizontal="center" vertical="center" readingOrder="2"/>
    </xf>
    <xf numFmtId="0" fontId="16" fillId="11" borderId="10" applyAlignment="1" pivotButton="0" quotePrefix="0" xfId="0">
      <alignment horizontal="center" vertical="center" readingOrder="2"/>
    </xf>
    <xf numFmtId="0" fontId="16" fillId="11" borderId="0" applyAlignment="1" pivotButton="0" quotePrefix="0" xfId="0">
      <alignment horizontal="center" vertical="center" readingOrder="2"/>
    </xf>
    <xf numFmtId="0" fontId="16" fillId="11" borderId="11" applyAlignment="1" pivotButton="0" quotePrefix="0" xfId="0">
      <alignment horizontal="center" vertical="center" readingOrder="2"/>
    </xf>
    <xf numFmtId="0" fontId="16" fillId="11" borderId="4" applyAlignment="1" pivotButton="0" quotePrefix="0" xfId="0">
      <alignment horizontal="center" vertical="center" readingOrder="2"/>
    </xf>
    <xf numFmtId="0" fontId="16" fillId="11" borderId="5" applyAlignment="1" pivotButton="0" quotePrefix="0" xfId="0">
      <alignment horizontal="center" vertical="center" readingOrder="2"/>
    </xf>
    <xf numFmtId="0" fontId="16" fillId="11" borderId="8" applyAlignment="1" pivotButton="0" quotePrefix="0" xfId="0">
      <alignment horizontal="center" vertical="center" readingOrder="2"/>
    </xf>
    <xf numFmtId="0" fontId="11" fillId="8" borderId="2" applyAlignment="1" pivotButton="0" quotePrefix="0" xfId="0">
      <alignment horizontal="center" vertical="center" readingOrder="2"/>
    </xf>
    <xf numFmtId="0" fontId="11" fillId="8" borderId="3" applyAlignment="1" pivotButton="0" quotePrefix="0" xfId="0">
      <alignment horizontal="center" vertical="center" readingOrder="2"/>
    </xf>
    <xf numFmtId="0" fontId="11" fillId="8" borderId="7" applyAlignment="1" pivotButton="0" quotePrefix="0" xfId="0">
      <alignment horizontal="center" vertical="center" readingOrder="2"/>
    </xf>
    <xf numFmtId="0" fontId="11" fillId="9" borderId="2" applyAlignment="1" pivotButton="0" quotePrefix="0" xfId="0">
      <alignment horizontal="center" vertical="center" readingOrder="2"/>
    </xf>
    <xf numFmtId="0" fontId="11" fillId="9" borderId="3" applyAlignment="1" pivotButton="0" quotePrefix="0" xfId="0">
      <alignment horizontal="center" vertical="center" readingOrder="2"/>
    </xf>
    <xf numFmtId="0" fontId="11" fillId="9" borderId="7" applyAlignment="1" pivotButton="0" quotePrefix="0" xfId="0">
      <alignment horizontal="center" vertical="center" readingOrder="2"/>
    </xf>
    <xf numFmtId="0" fontId="11" fillId="10" borderId="2" applyAlignment="1" pivotButton="0" quotePrefix="0" xfId="0">
      <alignment horizontal="center" vertical="center" readingOrder="2"/>
    </xf>
    <xf numFmtId="0" fontId="11" fillId="10" borderId="3" applyAlignment="1" pivotButton="0" quotePrefix="0" xfId="0">
      <alignment horizontal="center" vertical="center" readingOrder="2"/>
    </xf>
    <xf numFmtId="0" fontId="11" fillId="10" borderId="7" applyAlignment="1" pivotButton="0" quotePrefix="0" xfId="0">
      <alignment horizontal="center" vertical="center" readingOrder="2"/>
    </xf>
    <xf numFmtId="0" fontId="11" fillId="11" borderId="2" applyAlignment="1" pivotButton="0" quotePrefix="0" xfId="0">
      <alignment horizontal="center" vertical="center" readingOrder="2"/>
    </xf>
    <xf numFmtId="0" fontId="11" fillId="11" borderId="3" applyAlignment="1" pivotButton="0" quotePrefix="0" xfId="0">
      <alignment horizontal="center" vertical="center" readingOrder="2"/>
    </xf>
    <xf numFmtId="0" fontId="11" fillId="11" borderId="7" applyAlignment="1" pivotButton="0" quotePrefix="0" xfId="0">
      <alignment horizontal="center" vertical="center" readingOrder="2"/>
    </xf>
    <xf numFmtId="0" fontId="14" fillId="12" borderId="12" applyAlignment="1" pivotButton="0" quotePrefix="0" xfId="0">
      <alignment horizontal="center" vertical="center" readingOrder="2"/>
    </xf>
    <xf numFmtId="0" fontId="14" fillId="12" borderId="32" applyAlignment="1" pivotButton="0" quotePrefix="0" xfId="0">
      <alignment horizontal="center" vertical="center" readingOrder="2"/>
    </xf>
    <xf numFmtId="0" fontId="14" fillId="12" borderId="33" applyAlignment="1" pivotButton="0" quotePrefix="0" xfId="0">
      <alignment horizontal="center" vertical="center" readingOrder="2"/>
    </xf>
    <xf numFmtId="0" fontId="0" fillId="0" borderId="12" applyAlignment="1" pivotButton="0" quotePrefix="0" xfId="0">
      <alignment horizontal="center"/>
    </xf>
    <xf numFmtId="0" fontId="0" fillId="0" borderId="30" pivotButton="0" quotePrefix="0" xfId="0"/>
    <xf numFmtId="0" fontId="0" fillId="0" borderId="31" pivotButton="0" quotePrefix="0" xfId="0"/>
    <xf numFmtId="0" fontId="0" fillId="0" borderId="3" pivotButton="0" quotePrefix="0" xfId="0"/>
    <xf numFmtId="0" fontId="0" fillId="0" borderId="7" pivotButton="0" quotePrefix="0" xfId="0"/>
    <xf numFmtId="0" fontId="16" fillId="8" borderId="27" applyAlignment="1" pivotButton="0" quotePrefix="0" xfId="0">
      <alignment horizontal="center" vertical="center" readingOrder="2"/>
    </xf>
    <xf numFmtId="0" fontId="0" fillId="0" borderId="11" pivotButton="0" quotePrefix="0" xfId="0"/>
    <xf numFmtId="0" fontId="16" fillId="9" borderId="27" applyAlignment="1" pivotButton="0" quotePrefix="0" xfId="0">
      <alignment horizontal="center" vertical="center" readingOrder="2"/>
    </xf>
    <xf numFmtId="0" fontId="16" fillId="10" borderId="27" applyAlignment="1" pivotButton="0" quotePrefix="0" xfId="0">
      <alignment horizontal="center" vertical="center" readingOrder="2"/>
    </xf>
    <xf numFmtId="0" fontId="16" fillId="11" borderId="27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21" pivotButton="0" quotePrefix="0" xfId="0"/>
    <xf numFmtId="0" fontId="0" fillId="0" borderId="10" pivotButton="0" quotePrefix="0" xfId="0"/>
    <xf numFmtId="0" fontId="21" fillId="17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3" fillId="18" borderId="0" applyAlignment="1" pivotButton="0" quotePrefix="0" xfId="0">
      <alignment horizontal="left" vertical="center"/>
    </xf>
    <xf numFmtId="0" fontId="23" fillId="19" borderId="49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20" borderId="50" applyAlignment="1" pivotButton="0" quotePrefix="0" xfId="0">
      <alignment horizontal="center" vertical="center"/>
    </xf>
    <xf numFmtId="0" fontId="27" fillId="0" borderId="0" pivotButton="0" quotePrefix="0" xfId="0"/>
    <xf numFmtId="0" fontId="24" fillId="0" borderId="0" applyAlignment="1" pivotButton="0" quotePrefix="0" xfId="0">
      <alignment horizontal="left" vertical="center"/>
    </xf>
    <xf numFmtId="0" fontId="23" fillId="21" borderId="0" applyAlignment="1" pivotButton="0" quotePrefix="0" xfId="0">
      <alignment horizontal="left" vertical="center"/>
    </xf>
    <xf numFmtId="1" fontId="28" fillId="22" borderId="50" applyAlignment="1" pivotButton="0" quotePrefix="0" xfId="0">
      <alignment horizontal="center" vertical="center"/>
    </xf>
    <xf numFmtId="0" fontId="29" fillId="23" borderId="50" applyAlignment="1" pivotButton="0" quotePrefix="0" xfId="0">
      <alignment horizontal="center" vertical="center"/>
    </xf>
    <xf numFmtId="0" fontId="30" fillId="23" borderId="50" applyAlignment="1" pivotButton="0" quotePrefix="0" xfId="0">
      <alignment horizontal="center" vertical="center"/>
    </xf>
    <xf numFmtId="0" fontId="30" fillId="23" borderId="50" applyAlignment="1" pivotButton="0" quotePrefix="0" xfId="0">
      <alignment horizontal="left" vertical="center"/>
    </xf>
    <xf numFmtId="0" fontId="31" fillId="24" borderId="50" applyAlignment="1" pivotButton="0" quotePrefix="0" xfId="0">
      <alignment horizontal="center" vertical="center"/>
    </xf>
    <xf numFmtId="0" fontId="32" fillId="24" borderId="50" applyAlignment="1" pivotButton="0" quotePrefix="0" xfId="0">
      <alignment horizontal="center" vertical="center"/>
    </xf>
    <xf numFmtId="0" fontId="32" fillId="24" borderId="50" applyAlignment="1" pivotButton="0" quotePrefix="0" xfId="0">
      <alignment horizontal="left" vertical="center"/>
    </xf>
    <xf numFmtId="0" fontId="33" fillId="25" borderId="50" applyAlignment="1" pivotButton="0" quotePrefix="0" xfId="0">
      <alignment horizontal="center" vertical="center"/>
    </xf>
    <xf numFmtId="0" fontId="34" fillId="25" borderId="50" applyAlignment="1" pivotButton="0" quotePrefix="0" xfId="0">
      <alignment horizontal="center" vertical="center"/>
    </xf>
    <xf numFmtId="0" fontId="34" fillId="25" borderId="50" applyAlignment="1" pivotButton="0" quotePrefix="0" xfId="0">
      <alignment horizontal="left" vertical="center"/>
    </xf>
    <xf numFmtId="0" fontId="35" fillId="26" borderId="50" applyAlignment="1" pivotButton="0" quotePrefix="0" xfId="0">
      <alignment horizontal="center" vertical="center"/>
    </xf>
    <xf numFmtId="0" fontId="36" fillId="26" borderId="50" applyAlignment="1" pivotButton="0" quotePrefix="0" xfId="0">
      <alignment horizontal="center" vertical="center"/>
    </xf>
    <xf numFmtId="0" fontId="36" fillId="26" borderId="50" applyAlignment="1" pivotButton="0" quotePrefix="0" xfId="0">
      <alignment horizontal="left" vertical="center"/>
    </xf>
    <xf numFmtId="0" fontId="37" fillId="27" borderId="50" applyAlignment="1" pivotButton="0" quotePrefix="0" xfId="0">
      <alignment horizontal="center" vertical="center"/>
    </xf>
    <xf numFmtId="0" fontId="38" fillId="27" borderId="50" applyAlignment="1" pivotButton="0" quotePrefix="0" xfId="0">
      <alignment horizontal="center" vertical="center"/>
    </xf>
    <xf numFmtId="0" fontId="38" fillId="27" borderId="50" applyAlignment="1" pivotButton="0" quotePrefix="0" xfId="0">
      <alignment horizontal="left" vertical="center"/>
    </xf>
    <xf numFmtId="0" fontId="39" fillId="28" borderId="50" applyAlignment="1" pivotButton="0" quotePrefix="0" xfId="0">
      <alignment horizontal="center" vertical="center"/>
    </xf>
    <xf numFmtId="0" fontId="40" fillId="28" borderId="50" applyAlignment="1" pivotButton="0" quotePrefix="0" xfId="0">
      <alignment horizontal="center" vertical="center"/>
    </xf>
    <xf numFmtId="0" fontId="40" fillId="28" borderId="50" applyAlignment="1" pivotButton="0" quotePrefix="0" xfId="0">
      <alignment horizontal="left" vertical="center"/>
    </xf>
    <xf numFmtId="0" fontId="23" fillId="17" borderId="49" applyAlignment="1" pivotButton="0" quotePrefix="0" xfId="0">
      <alignment horizontal="center" vertical="center" wrapText="1"/>
    </xf>
    <xf numFmtId="0" fontId="41" fillId="29" borderId="50" applyAlignment="1" pivotButton="0" quotePrefix="0" xfId="0">
      <alignment horizontal="center" vertical="center"/>
    </xf>
    <xf numFmtId="0" fontId="25" fillId="29" borderId="50" applyAlignment="1" pivotButton="0" quotePrefix="0" xfId="0">
      <alignment horizontal="center" vertical="center"/>
    </xf>
    <xf numFmtId="1" fontId="25" fillId="29" borderId="50" applyAlignment="1" pivotButton="0" quotePrefix="0" xfId="0">
      <alignment horizontal="center" vertical="center"/>
    </xf>
    <xf numFmtId="164" fontId="25" fillId="30" borderId="50" applyAlignment="1" pivotButton="0" quotePrefix="0" xfId="0">
      <alignment horizontal="center" vertical="center"/>
    </xf>
    <xf numFmtId="1" fontId="25" fillId="30" borderId="50" applyAlignment="1" pivotButton="0" quotePrefix="0" xfId="0">
      <alignment horizontal="center" vertical="center"/>
    </xf>
    <xf numFmtId="165" fontId="25" fillId="30" borderId="50" applyAlignment="1" pivotButton="0" quotePrefix="0" xfId="0">
      <alignment horizontal="center" vertical="center"/>
    </xf>
    <xf numFmtId="165" fontId="41" fillId="30" borderId="50" applyAlignment="1" pivotButton="0" quotePrefix="0" xfId="0">
      <alignment horizontal="center" vertical="center"/>
    </xf>
    <xf numFmtId="0" fontId="41" fillId="0" borderId="50" applyAlignment="1" pivotButton="0" quotePrefix="0" xfId="0">
      <alignment horizontal="center" vertical="center"/>
    </xf>
    <xf numFmtId="0" fontId="41" fillId="31" borderId="50" applyAlignment="1" pivotButton="0" quotePrefix="0" xfId="0">
      <alignment horizontal="center" vertical="center"/>
    </xf>
    <xf numFmtId="0" fontId="25" fillId="31" borderId="50" applyAlignment="1" pivotButton="0" quotePrefix="0" xfId="0">
      <alignment horizontal="center" vertical="center"/>
    </xf>
    <xf numFmtId="1" fontId="25" fillId="31" borderId="50" applyAlignment="1" pivotButton="0" quotePrefix="0" xfId="0">
      <alignment horizontal="center" vertical="center"/>
    </xf>
    <xf numFmtId="0" fontId="41" fillId="32" borderId="50" applyAlignment="1" pivotButton="0" quotePrefix="0" xfId="0">
      <alignment horizontal="center" vertical="center"/>
    </xf>
    <xf numFmtId="0" fontId="25" fillId="32" borderId="50" applyAlignment="1" pivotButton="0" quotePrefix="0" xfId="0">
      <alignment horizontal="center" vertical="center"/>
    </xf>
    <xf numFmtId="1" fontId="25" fillId="32" borderId="50" applyAlignment="1" pivotButton="0" quotePrefix="0" xfId="0">
      <alignment horizontal="center" vertical="center"/>
    </xf>
    <xf numFmtId="0" fontId="41" fillId="33" borderId="50" applyAlignment="1" pivotButton="0" quotePrefix="0" xfId="0">
      <alignment horizontal="center" vertical="center"/>
    </xf>
    <xf numFmtId="0" fontId="25" fillId="33" borderId="50" applyAlignment="1" pivotButton="0" quotePrefix="0" xfId="0">
      <alignment horizontal="center" vertical="center"/>
    </xf>
    <xf numFmtId="1" fontId="25" fillId="33" borderId="5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1" fontId="41" fillId="30" borderId="50" applyAlignment="1" pivotButton="0" quotePrefix="0" xfId="0">
      <alignment horizontal="center" vertical="center"/>
    </xf>
  </cellXfs>
  <cellStyles count="6">
    <cellStyle name="Normal" xfId="0" builtinId="0"/>
    <cellStyle name="קלט" xfId="1" builtinId="20"/>
    <cellStyle name="חישוב" xfId="2" builtinId="22"/>
    <cellStyle name="פלט" xfId="3" builtinId="21"/>
    <cellStyle name="20% - הדגשה1" xfId="4" builtinId="30"/>
    <cellStyle name="תא מסומן" xfId="5" builtinId="23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name val="Calibri"/>
        <b val="1"/>
        <color rgb="001E7A47"/>
        <sz val="10"/>
      </font>
      <fill>
        <patternFill patternType="solid">
          <fgColor rgb="00C6EFCE"/>
        </patternFill>
      </fill>
    </dxf>
    <dxf>
      <font>
        <name val="Calibri"/>
        <b val="1"/>
        <color rgb="001A5276"/>
        <sz val="10"/>
      </font>
      <fill>
        <patternFill patternType="solid">
          <fgColor rgb="00DDEEFF"/>
        </patternFill>
      </fill>
    </dxf>
    <dxf>
      <font>
        <name val="Calibri"/>
        <b val="1"/>
        <color rgb="007D6608"/>
        <sz val="10"/>
      </font>
      <fill>
        <patternFill patternType="solid">
          <fgColor rgb="00FFF9C4"/>
        </patternFill>
      </fill>
    </dxf>
    <dxf>
      <font>
        <name val="Calibri"/>
        <b val="1"/>
        <color rgb="00B15500"/>
        <sz val="10"/>
      </font>
      <fill>
        <patternFill patternType="solid">
          <fgColor rgb="00FFE0B2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</patternFill>
      </fill>
    </dxf>
    <dxf>
      <font>
        <name val="Calibri"/>
        <b val="1"/>
        <color rgb="00FFFFFF"/>
        <sz val="10"/>
      </font>
      <fill>
        <patternFill patternType="solid">
          <fgColor rgb="00CC22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JUNC">
  <a:themeElements>
    <a:clrScheme name="Roads">
      <a:dk1>
        <a:sysClr val="windowText" lastClr="000000"/>
      </a:dk1>
      <a:lt1>
        <a:sysClr val="window" lastClr="FFFFFF"/>
      </a:lt1>
      <a:dk2>
        <a:srgbClr val="373E4E"/>
      </a:dk2>
      <a:lt2>
        <a:srgbClr val="2F7487"/>
      </a:lt2>
      <a:accent1>
        <a:srgbClr val="7FAECC"/>
      </a:accent1>
      <a:accent2>
        <a:srgbClr val="A1C3E0"/>
      </a:accent2>
      <a:accent3>
        <a:srgbClr val="B5E5FA"/>
      </a:accent3>
      <a:accent4>
        <a:srgbClr val="E4DFD3"/>
      </a:accent4>
      <a:accent5>
        <a:srgbClr val="BFBBBD"/>
      </a:accent5>
      <a:accent6>
        <a:srgbClr val="ECA842"/>
      </a:accent6>
      <a:hlink>
        <a:srgbClr val="0000FF"/>
      </a:hlink>
      <a:folHlink>
        <a:srgbClr val="800080"/>
      </a:folHlink>
    </a:clrScheme>
    <a:fontScheme name="Assistant">
      <a:majorFont>
        <a:latin typeface="Assistant"/>
        <a:ea typeface=""/>
        <a:cs typeface="Assistant"/>
      </a:majorFont>
      <a:minorFont>
        <a:latin typeface="Assistant"/>
        <a:ea typeface=""/>
        <a:cs typeface="Assistant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JUNC" id="{3CF252C5-365D-456B-901B-6E5829CA6FA2}" vid="{FD38F4C2-87E0-4CB1-85B7-D49F78CF2A9F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P46"/>
  <sheetViews>
    <sheetView rightToLeft="1" tabSelected="1" topLeftCell="K1" zoomScale="85" zoomScaleNormal="85" workbookViewId="0">
      <selection activeCell="AK41" sqref="AK41"/>
    </sheetView>
  </sheetViews>
  <sheetFormatPr baseColWidth="8" defaultColWidth="11.85546875" defaultRowHeight="15"/>
  <cols>
    <col width="14" bestFit="1" customWidth="1" style="8" min="1" max="1"/>
    <col width="12.140625" bestFit="1" customWidth="1" style="8" min="2" max="2"/>
    <col width="8.28515625" bestFit="1" customWidth="1" style="8" min="3" max="3"/>
    <col width="11.5703125" bestFit="1" customWidth="1" style="8" min="4" max="4"/>
    <col width="6.140625" bestFit="1" customWidth="1" style="8" min="5" max="5"/>
    <col width="13.28515625" bestFit="1" customWidth="1" style="8" min="6" max="6"/>
    <col width="9.85546875" bestFit="1" customWidth="1" style="8" min="7" max="7"/>
    <col width="8.28515625" bestFit="1" customWidth="1" style="8" min="8" max="8"/>
    <col width="16.28515625" bestFit="1" customWidth="1" style="8" min="9" max="9"/>
    <col width="8.7109375" bestFit="1" customWidth="1" style="8" min="10" max="10"/>
    <col width="13.28515625" bestFit="1" customWidth="1" style="8" min="11" max="12"/>
    <col width="9.85546875" bestFit="1" customWidth="1" style="8" min="13" max="13"/>
    <col width="13.28515625" bestFit="1" customWidth="1" style="8" min="14" max="14"/>
    <col width="9.85546875" bestFit="1" customWidth="1" style="8" min="15" max="15"/>
    <col width="8.28515625" bestFit="1" customWidth="1" style="8" min="16" max="16"/>
    <col width="16.28515625" bestFit="1" customWidth="1" style="8" min="17" max="17"/>
    <col width="14" bestFit="1" customWidth="1" style="8" min="18" max="18"/>
    <col width="12.140625" bestFit="1" customWidth="1" style="8" min="19" max="19"/>
    <col width="11.5703125" bestFit="1" customWidth="1" style="8" min="20" max="20"/>
    <col width="13.28515625" bestFit="1" customWidth="1" style="8" min="21" max="22"/>
    <col width="15.140625" bestFit="1" customWidth="1" style="8" min="23" max="23"/>
    <col width="8.28515625" bestFit="1" customWidth="1" style="8" min="24" max="24"/>
    <col width="16.28515625" bestFit="1" customWidth="1" style="8" min="25" max="25"/>
    <col width="4.5703125" bestFit="1" customWidth="1" style="8" min="26" max="26"/>
    <col width="16.28515625" bestFit="1" customWidth="1" style="8" min="27" max="27"/>
    <col width="11.5703125" bestFit="1" customWidth="1" style="8" min="28" max="28"/>
    <col width="6.140625" bestFit="1" customWidth="1" style="8" min="29" max="29"/>
    <col width="13.28515625" bestFit="1" customWidth="1" style="8" min="30" max="30"/>
    <col width="9.85546875" bestFit="1" customWidth="1" style="8" min="31" max="31"/>
    <col width="8.28515625" bestFit="1" customWidth="1" style="8" min="32" max="32"/>
    <col width="16.28515625" bestFit="1" customWidth="1" style="8" min="33" max="33"/>
    <col width="11.85546875" customWidth="1" style="8" min="34" max="35"/>
    <col width="9.85546875" bestFit="1" customWidth="1" style="8" min="36" max="36"/>
    <col width="4.7109375" bestFit="1" customWidth="1" style="8" min="37" max="37"/>
    <col width="5" bestFit="1" customWidth="1" style="8" min="38" max="38"/>
    <col width="5.28515625" bestFit="1" customWidth="1" style="8" min="39" max="39"/>
    <col width="11.85546875" customWidth="1" style="8" min="40" max="40"/>
    <col width="6.42578125" bestFit="1" customWidth="1" style="8" min="41" max="41"/>
    <col width="23.5703125" bestFit="1" customWidth="1" style="8" min="42" max="42"/>
    <col width="11.85546875" customWidth="1" style="8" min="43" max="16384"/>
  </cols>
  <sheetData>
    <row r="1" ht="15" customHeight="1" thickBot="1">
      <c r="A1" s="110" t="n"/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</row>
    <row r="2" ht="16.5" customHeight="1">
      <c r="A2" s="110" t="n"/>
      <c r="B2" s="110" t="n"/>
      <c r="C2" s="38">
        <f>IF(ISBLANK(V4),"צפון","צפון   -   "&amp;V4)</f>
        <v/>
      </c>
      <c r="D2" s="153" t="n"/>
      <c r="E2" s="153" t="n"/>
      <c r="F2" s="154" t="n"/>
      <c r="G2" s="40">
        <f>IF(ISBLANK(W4),"דרום","דרום   -   "&amp;W4)</f>
        <v/>
      </c>
      <c r="H2" s="153" t="n"/>
      <c r="I2" s="153" t="n"/>
      <c r="J2" s="154" t="n"/>
      <c r="K2" s="42">
        <f>IF(ISBLANK(X4),"מזרח","מזרח   -   "&amp;X4)</f>
        <v/>
      </c>
      <c r="L2" s="153" t="n"/>
      <c r="M2" s="153" t="n"/>
      <c r="N2" s="154" t="n"/>
      <c r="O2" s="44">
        <f>IF(ISBLANK(Y4),"מערב","מערב   -   "&amp;Y4)</f>
        <v/>
      </c>
      <c r="P2" s="153" t="n"/>
      <c r="Q2" s="153" t="n"/>
      <c r="R2" s="154" t="n"/>
      <c r="S2" s="110" t="n"/>
      <c r="T2" s="110" t="n"/>
      <c r="U2" s="110" t="n"/>
      <c r="V2" s="147" t="inlineStr">
        <is>
          <t>שמות הרחובות</t>
        </is>
      </c>
      <c r="W2" s="151" t="n"/>
      <c r="X2" s="151" t="n"/>
      <c r="Y2" s="152" t="n"/>
      <c r="AN2" s="9" t="n"/>
    </row>
    <row r="3" ht="15" customHeight="1" thickBot="1">
      <c r="A3" s="110" t="n"/>
      <c r="B3" s="110" t="n"/>
      <c r="C3" s="10" t="inlineStr">
        <is>
          <t>סה"כ</t>
        </is>
      </c>
      <c r="D3" s="11" t="inlineStr">
        <is>
          <t>ימין    R</t>
        </is>
      </c>
      <c r="E3" s="11" t="inlineStr">
        <is>
          <t>ישר    T</t>
        </is>
      </c>
      <c r="F3" s="12" t="inlineStr">
        <is>
          <t>שמאל    L</t>
        </is>
      </c>
      <c r="G3" s="13" t="inlineStr">
        <is>
          <t>סה"כ</t>
        </is>
      </c>
      <c r="H3" s="14" t="inlineStr">
        <is>
          <t>ימין    R</t>
        </is>
      </c>
      <c r="I3" s="14" t="inlineStr">
        <is>
          <t>ישר    T</t>
        </is>
      </c>
      <c r="J3" s="15" t="inlineStr">
        <is>
          <t>שמאל    L</t>
        </is>
      </c>
      <c r="K3" s="16" t="inlineStr">
        <is>
          <t>סה"כ</t>
        </is>
      </c>
      <c r="L3" s="17" t="inlineStr">
        <is>
          <t>ימין    R</t>
        </is>
      </c>
      <c r="M3" s="17" t="inlineStr">
        <is>
          <t>ישר    T</t>
        </is>
      </c>
      <c r="N3" s="18" t="inlineStr">
        <is>
          <t>שמאל    L</t>
        </is>
      </c>
      <c r="O3" s="19" t="inlineStr">
        <is>
          <t>סה"כ</t>
        </is>
      </c>
      <c r="P3" s="20" t="inlineStr">
        <is>
          <t>ימין    R</t>
        </is>
      </c>
      <c r="Q3" s="20" t="inlineStr">
        <is>
          <t>ישר    T</t>
        </is>
      </c>
      <c r="R3" s="21" t="inlineStr">
        <is>
          <t>שמאל    L</t>
        </is>
      </c>
      <c r="S3" s="110" t="n"/>
      <c r="T3" s="110" t="n"/>
      <c r="U3" s="110" t="n"/>
      <c r="V3" s="22" t="inlineStr">
        <is>
          <t>צפון</t>
        </is>
      </c>
      <c r="W3" s="23" t="inlineStr">
        <is>
          <t>דרום</t>
        </is>
      </c>
      <c r="X3" s="24" t="inlineStr">
        <is>
          <t>מזרח</t>
        </is>
      </c>
      <c r="Y3" s="25" t="inlineStr">
        <is>
          <t>מערב</t>
        </is>
      </c>
      <c r="AP3" s="8" t="inlineStr">
        <is>
          <t>בדיקה</t>
        </is>
      </c>
    </row>
    <row r="4" ht="15.75" customHeight="1" thickBot="1">
      <c r="A4" s="110" t="n"/>
      <c r="B4" s="26" t="inlineStr">
        <is>
          <t>ספירה בוקר</t>
        </is>
      </c>
      <c r="C4" s="27" t="n"/>
      <c r="D4" s="28" t="n"/>
      <c r="E4" s="28" t="n"/>
      <c r="F4" s="29" t="n"/>
      <c r="G4" s="27" t="n"/>
      <c r="H4" s="28" t="n"/>
      <c r="I4" s="28" t="n"/>
      <c r="J4" s="29" t="n"/>
      <c r="K4" s="27" t="n"/>
      <c r="L4" s="28" t="n"/>
      <c r="M4" s="28" t="n"/>
      <c r="N4" s="29" t="n"/>
      <c r="O4" s="27" t="n"/>
      <c r="P4" s="28" t="n"/>
      <c r="Q4" s="28" t="n"/>
      <c r="R4" s="29" t="n"/>
      <c r="S4" s="110" t="n"/>
      <c r="T4" s="110" t="n"/>
      <c r="U4" s="110" t="n"/>
      <c r="V4" s="30" t="n"/>
      <c r="W4" s="31" t="n"/>
      <c r="X4" s="31" t="n"/>
      <c r="Y4" s="32" t="n"/>
      <c r="AO4" s="33">
        <f>AND(D4&gt;0,C8+D8+H8+I8&lt;1)</f>
        <v/>
      </c>
      <c r="AP4" s="33" t="inlineStr">
        <is>
          <t>שגיאה אין נתיב צפון ימין</t>
        </is>
      </c>
    </row>
    <row r="5" ht="15.75" customHeight="1" thickBot="1">
      <c r="A5" s="110" t="n"/>
      <c r="B5" s="34" t="inlineStr">
        <is>
          <t>ספירה ערב</t>
        </is>
      </c>
      <c r="C5" s="35" t="n"/>
      <c r="D5" s="36" t="n"/>
      <c r="E5" s="36" t="n"/>
      <c r="F5" s="37" t="n"/>
      <c r="G5" s="35" t="n"/>
      <c r="H5" s="36" t="n"/>
      <c r="I5" s="36" t="n"/>
      <c r="J5" s="37" t="n"/>
      <c r="K5" s="35" t="n"/>
      <c r="L5" s="36" t="n"/>
      <c r="M5" s="36" t="n"/>
      <c r="N5" s="37" t="n"/>
      <c r="O5" s="35" t="n"/>
      <c r="P5" s="36" t="n"/>
      <c r="Q5" s="36" t="n"/>
      <c r="R5" s="37" t="n"/>
      <c r="S5" s="110" t="n"/>
      <c r="T5" s="110" t="n"/>
      <c r="U5" s="110" t="n"/>
      <c r="V5" s="110" t="n"/>
      <c r="W5" s="110" t="n"/>
      <c r="X5" s="110" t="n"/>
      <c r="Y5" s="110" t="n"/>
      <c r="AO5" s="33" t="n"/>
      <c r="AP5" s="33" t="n"/>
    </row>
    <row r="6" ht="15.75" customHeight="1" thickBot="1">
      <c r="A6" s="110" t="n"/>
      <c r="B6" s="110" t="n"/>
      <c r="C6" s="110" t="n"/>
      <c r="D6" s="110" t="n"/>
      <c r="E6" s="110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AO6" s="33">
        <f>AND(E4&gt;0,D8+E8+F8+H8&lt;1)</f>
        <v/>
      </c>
      <c r="AP6" s="33" t="inlineStr">
        <is>
          <t>שגיאה אין נתיב צפון ישר</t>
        </is>
      </c>
    </row>
    <row r="7" ht="16.5" customHeight="1" thickBot="1">
      <c r="A7" s="110" t="n"/>
      <c r="B7" s="110" t="n"/>
      <c r="C7" s="38" t="inlineStr">
        <is>
          <t xml:space="preserve">ימינה    R  </t>
        </is>
      </c>
      <c r="D7" s="38" t="inlineStr">
        <is>
          <t xml:space="preserve">ימינה ישר    D  </t>
        </is>
      </c>
      <c r="E7" s="38" t="inlineStr">
        <is>
          <t xml:space="preserve">ישר    T  </t>
        </is>
      </c>
      <c r="F7" s="38" t="inlineStr">
        <is>
          <t xml:space="preserve">ישר שמאלה    A  </t>
        </is>
      </c>
      <c r="G7" s="38" t="inlineStr">
        <is>
          <t xml:space="preserve">שמאלה    L  </t>
        </is>
      </c>
      <c r="H7" s="38" t="inlineStr">
        <is>
          <t xml:space="preserve">הכול    W  </t>
        </is>
      </c>
      <c r="I7" s="137" t="inlineStr">
        <is>
          <t xml:space="preserve">ימינה ושמאלה    S  </t>
        </is>
      </c>
      <c r="J7" s="110" t="n"/>
      <c r="K7" s="40" t="inlineStr">
        <is>
          <t xml:space="preserve">ימינה    R  </t>
        </is>
      </c>
      <c r="L7" s="40" t="inlineStr">
        <is>
          <t xml:space="preserve">ימינה ישר    D  </t>
        </is>
      </c>
      <c r="M7" s="40" t="inlineStr">
        <is>
          <t xml:space="preserve">ישר    T  </t>
        </is>
      </c>
      <c r="N7" s="40" t="inlineStr">
        <is>
          <t xml:space="preserve">ישר שמאלה    A  </t>
        </is>
      </c>
      <c r="O7" s="40" t="inlineStr">
        <is>
          <t xml:space="preserve">שמאלה    L  </t>
        </is>
      </c>
      <c r="P7" s="40" t="inlineStr">
        <is>
          <t xml:space="preserve">הכול    W  </t>
        </is>
      </c>
      <c r="Q7" s="140" t="inlineStr">
        <is>
          <t xml:space="preserve">ימינה ושמאלה    S  </t>
        </is>
      </c>
      <c r="R7" s="110" t="n"/>
      <c r="S7" s="42" t="inlineStr">
        <is>
          <t xml:space="preserve">ימינה    R  </t>
        </is>
      </c>
      <c r="T7" s="42" t="inlineStr">
        <is>
          <t xml:space="preserve">ימינה ישר    D  </t>
        </is>
      </c>
      <c r="U7" s="42" t="inlineStr">
        <is>
          <t xml:space="preserve">ישר    T  </t>
        </is>
      </c>
      <c r="V7" s="42" t="inlineStr">
        <is>
          <t xml:space="preserve">ישר שמאלה    A  </t>
        </is>
      </c>
      <c r="W7" s="42" t="inlineStr">
        <is>
          <t xml:space="preserve">שמאלה    L  </t>
        </is>
      </c>
      <c r="X7" s="42" t="inlineStr">
        <is>
          <t xml:space="preserve">הכול    W  </t>
        </is>
      </c>
      <c r="Y7" s="143" t="inlineStr">
        <is>
          <t xml:space="preserve">ימינה ושמאלה    S  </t>
        </is>
      </c>
      <c r="AA7" s="44" t="inlineStr">
        <is>
          <t xml:space="preserve">ימינה    R  </t>
        </is>
      </c>
      <c r="AB7" s="44" t="inlineStr">
        <is>
          <t xml:space="preserve">ימינה ישר    D  </t>
        </is>
      </c>
      <c r="AC7" s="44" t="inlineStr">
        <is>
          <t xml:space="preserve">ישר    T  </t>
        </is>
      </c>
      <c r="AD7" s="44" t="inlineStr">
        <is>
          <t xml:space="preserve">ישר שמאלה    A  </t>
        </is>
      </c>
      <c r="AE7" s="44" t="inlineStr">
        <is>
          <t xml:space="preserve">שמאלה    L  </t>
        </is>
      </c>
      <c r="AF7" s="44" t="inlineStr">
        <is>
          <t xml:space="preserve">הכול    W  </t>
        </is>
      </c>
      <c r="AG7" s="146" t="inlineStr">
        <is>
          <t xml:space="preserve">ימינה ושמאלה    S  </t>
        </is>
      </c>
      <c r="AO7" s="33">
        <f>AND(F4&gt;0,F8+G8+H8+I8&lt;1)</f>
        <v/>
      </c>
      <c r="AP7" s="33" t="inlineStr">
        <is>
          <t>שגיאה אין נתיב צפון שמאל</t>
        </is>
      </c>
    </row>
    <row r="8" ht="15.75" customHeight="1" thickBot="1">
      <c r="A8" s="110" t="n"/>
      <c r="B8" s="46" t="inlineStr">
        <is>
          <t>מספר נתיבים</t>
        </is>
      </c>
      <c r="C8" s="47" t="n">
        <v>0</v>
      </c>
      <c r="D8" s="47" t="n">
        <v>0</v>
      </c>
      <c r="E8" s="47" t="n">
        <v>0</v>
      </c>
      <c r="F8" s="47" t="n">
        <v>0</v>
      </c>
      <c r="G8" s="47" t="n">
        <v>0</v>
      </c>
      <c r="H8" s="47" t="n">
        <v>0</v>
      </c>
      <c r="I8" s="48" t="n">
        <v>0</v>
      </c>
      <c r="J8" s="49" t="n"/>
      <c r="K8" s="47" t="n">
        <v>0</v>
      </c>
      <c r="L8" s="47" t="n">
        <v>0</v>
      </c>
      <c r="M8" s="47" t="n">
        <v>0</v>
      </c>
      <c r="N8" s="47" t="n">
        <v>0</v>
      </c>
      <c r="O8" s="47" t="n">
        <v>0</v>
      </c>
      <c r="P8" s="47" t="n">
        <v>0</v>
      </c>
      <c r="Q8" s="48" t="n">
        <v>0</v>
      </c>
      <c r="R8" s="49" t="n"/>
      <c r="S8" s="47" t="n">
        <v>0</v>
      </c>
      <c r="T8" s="47" t="n">
        <v>0</v>
      </c>
      <c r="U8" s="47" t="n">
        <v>0</v>
      </c>
      <c r="V8" s="47" t="n">
        <v>0</v>
      </c>
      <c r="W8" s="47" t="n">
        <v>0</v>
      </c>
      <c r="X8" s="47" t="n">
        <v>0</v>
      </c>
      <c r="Y8" s="48" t="n">
        <v>0</v>
      </c>
      <c r="Z8" s="49" t="n"/>
      <c r="AA8" s="47" t="n">
        <v>0</v>
      </c>
      <c r="AB8" s="47" t="n">
        <v>0</v>
      </c>
      <c r="AC8" s="47" t="n">
        <v>0</v>
      </c>
      <c r="AD8" s="47" t="n">
        <v>0</v>
      </c>
      <c r="AE8" s="47" t="n">
        <v>0</v>
      </c>
      <c r="AF8" s="47" t="n">
        <v>0</v>
      </c>
      <c r="AG8" s="48" t="n">
        <v>0</v>
      </c>
      <c r="AO8" s="33">
        <f>AND(H4&gt;0,K8+L8+P8+Q8&lt;1)</f>
        <v/>
      </c>
      <c r="AP8" s="33" t="inlineStr">
        <is>
          <t>שגיאה אין נתיב דרום ימין</t>
        </is>
      </c>
    </row>
    <row r="9" ht="15.75" customHeight="1" thickBot="1">
      <c r="A9" s="110" t="n"/>
      <c r="B9" s="50" t="inlineStr">
        <is>
          <t>נתיבי נת"צ</t>
        </is>
      </c>
      <c r="C9" s="47" t="n">
        <v>0</v>
      </c>
      <c r="D9" s="47" t="n">
        <v>0</v>
      </c>
      <c r="E9" s="47" t="n">
        <v>0</v>
      </c>
      <c r="F9" s="47" t="n">
        <v>0</v>
      </c>
      <c r="G9" s="47" t="n">
        <v>0</v>
      </c>
      <c r="H9" s="47" t="n">
        <v>0</v>
      </c>
      <c r="I9" s="48" t="n">
        <v>0</v>
      </c>
      <c r="J9" s="49" t="n"/>
      <c r="K9" s="47" t="n">
        <v>0</v>
      </c>
      <c r="L9" s="47" t="n">
        <v>0</v>
      </c>
      <c r="M9" s="47" t="n">
        <v>0</v>
      </c>
      <c r="N9" s="47" t="n">
        <v>0</v>
      </c>
      <c r="O9" s="47" t="n">
        <v>0</v>
      </c>
      <c r="P9" s="47" t="n">
        <v>0</v>
      </c>
      <c r="Q9" s="48" t="n">
        <v>0</v>
      </c>
      <c r="R9" s="49" t="n"/>
      <c r="S9" s="47" t="n">
        <v>0</v>
      </c>
      <c r="T9" s="47" t="n">
        <v>0</v>
      </c>
      <c r="U9" s="47" t="n">
        <v>0</v>
      </c>
      <c r="V9" s="47" t="n">
        <v>0</v>
      </c>
      <c r="W9" s="47" t="n">
        <v>0</v>
      </c>
      <c r="X9" s="47" t="n">
        <v>0</v>
      </c>
      <c r="Y9" s="48" t="n">
        <v>0</v>
      </c>
      <c r="Z9" s="49" t="n"/>
      <c r="AA9" s="47" t="n">
        <v>0</v>
      </c>
      <c r="AB9" s="47" t="n">
        <v>0</v>
      </c>
      <c r="AC9" s="47" t="n">
        <v>0</v>
      </c>
      <c r="AD9" s="47" t="n">
        <v>0</v>
      </c>
      <c r="AE9" s="47" t="n">
        <v>0</v>
      </c>
      <c r="AF9" s="47" t="n">
        <v>0</v>
      </c>
      <c r="AG9" s="48" t="n">
        <v>0</v>
      </c>
      <c r="AO9" s="33" t="n"/>
      <c r="AP9" s="33" t="n"/>
    </row>
    <row r="10" hidden="1" ht="15" customHeight="1">
      <c r="A10" s="110" t="n"/>
      <c r="B10" s="110" t="inlineStr">
        <is>
          <t>ימינה</t>
        </is>
      </c>
      <c r="C10" s="51" t="n">
        <v>50</v>
      </c>
      <c r="D10" s="52" t="n">
        <v>0</v>
      </c>
      <c r="E10" s="110" t="n"/>
      <c r="F10" s="110" t="n"/>
      <c r="G10" s="110" t="n"/>
      <c r="H10" s="52" t="n">
        <v>8</v>
      </c>
      <c r="I10" s="53" t="n">
        <v>0</v>
      </c>
      <c r="J10" s="110" t="n"/>
      <c r="K10" s="51" t="n">
        <v>33.33333333333334</v>
      </c>
      <c r="L10" s="52" t="n">
        <v>200</v>
      </c>
      <c r="M10" s="110" t="n"/>
      <c r="N10" s="110" t="n"/>
      <c r="O10" s="110" t="n"/>
      <c r="P10" s="52" t="n">
        <v>0</v>
      </c>
      <c r="Q10" s="53" t="n">
        <v>290.0001</v>
      </c>
      <c r="R10" s="110" t="n"/>
      <c r="S10" s="51" t="n">
        <v>100</v>
      </c>
      <c r="T10" s="52" t="n">
        <v>153</v>
      </c>
      <c r="U10" s="110" t="n"/>
      <c r="V10" s="110" t="n"/>
      <c r="W10" s="110" t="n"/>
      <c r="X10" s="52" t="n">
        <v>0</v>
      </c>
      <c r="Y10" s="53" t="n">
        <v>0</v>
      </c>
      <c r="AA10" s="54" t="n">
        <v>0</v>
      </c>
      <c r="AB10" s="55" t="n">
        <v>500</v>
      </c>
      <c r="AF10" s="55" t="n">
        <v>0</v>
      </c>
      <c r="AG10" s="56" t="n">
        <v>0</v>
      </c>
      <c r="AJ10" s="8" t="inlineStr">
        <is>
          <t>ימינה אמיתי</t>
        </is>
      </c>
      <c r="AO10" s="33">
        <f>AND(I4&gt;0,L8+M8+N8+P8&lt;1)</f>
        <v/>
      </c>
      <c r="AP10" s="33" t="inlineStr">
        <is>
          <t>שגיאה אין נתיב דרום ישר</t>
        </is>
      </c>
    </row>
    <row r="11" hidden="1" ht="15" customHeight="1">
      <c r="A11" s="110" t="n"/>
      <c r="B11" s="110" t="inlineStr">
        <is>
          <t>ישר</t>
        </is>
      </c>
      <c r="C11" s="109" t="n"/>
      <c r="D11" s="52" t="n">
        <v>49.99999999999999</v>
      </c>
      <c r="E11" s="52" t="n">
        <v>50.00000000000002</v>
      </c>
      <c r="F11" s="52" t="n">
        <v>403.0800032838605</v>
      </c>
      <c r="G11" s="110" t="n"/>
      <c r="H11" s="52" t="n">
        <v>0</v>
      </c>
      <c r="I11" s="111" t="n"/>
      <c r="J11" s="110" t="n"/>
      <c r="K11" s="109" t="n"/>
      <c r="L11" s="52" t="n">
        <v>561.4500063876162</v>
      </c>
      <c r="M11" s="52" t="n">
        <v>49.99995000000001</v>
      </c>
      <c r="N11" s="52" t="n">
        <v>12</v>
      </c>
      <c r="O11" s="110" t="n"/>
      <c r="P11" s="52" t="n">
        <v>0</v>
      </c>
      <c r="Q11" s="111" t="n"/>
      <c r="R11" s="110" t="n"/>
      <c r="S11" s="109" t="n"/>
      <c r="T11" s="52" t="n">
        <v>521.8</v>
      </c>
      <c r="U11" s="52" t="n">
        <v>33.33333333333334</v>
      </c>
      <c r="V11" s="52" t="n">
        <v>200</v>
      </c>
      <c r="W11" s="110" t="n"/>
      <c r="X11" s="52" t="n">
        <v>3000</v>
      </c>
      <c r="Y11" s="111" t="n"/>
      <c r="AA11" s="59" t="n"/>
      <c r="AB11" s="55" t="n">
        <v>0</v>
      </c>
      <c r="AC11" s="55" t="n">
        <v>0</v>
      </c>
      <c r="AD11" s="55" t="n">
        <v>200</v>
      </c>
      <c r="AF11" s="55" t="n">
        <v>0</v>
      </c>
      <c r="AG11" s="60" t="n"/>
      <c r="AJ11" s="8" t="inlineStr">
        <is>
          <t>צפון</t>
        </is>
      </c>
      <c r="AK11" s="8" t="inlineStr">
        <is>
          <t>דרום</t>
        </is>
      </c>
      <c r="AL11" s="8" t="inlineStr">
        <is>
          <t>מזרח</t>
        </is>
      </c>
      <c r="AM11" s="8" t="inlineStr">
        <is>
          <t>מערב</t>
        </is>
      </c>
      <c r="AO11" s="33">
        <f>AND(J4&gt;0,N8+O8+P8+Q8&lt;1)</f>
        <v/>
      </c>
      <c r="AP11" s="33" t="inlineStr">
        <is>
          <t>שגיאה אין נתיב דרום שמאל</t>
        </is>
      </c>
    </row>
    <row r="12" hidden="1" ht="15" customHeight="1">
      <c r="A12" s="110" t="n"/>
      <c r="B12" s="110" t="inlineStr">
        <is>
          <t>שמאלה</t>
        </is>
      </c>
      <c r="C12" s="109" t="n"/>
      <c r="D12" s="110" t="n"/>
      <c r="E12" s="110" t="n"/>
      <c r="F12" s="52" t="n">
        <v>100</v>
      </c>
      <c r="G12" s="52" t="n">
        <v>100</v>
      </c>
      <c r="H12" s="52" t="n">
        <v>0</v>
      </c>
      <c r="I12" s="53" t="n">
        <v>0</v>
      </c>
      <c r="J12" s="110" t="n"/>
      <c r="K12" s="109" t="n"/>
      <c r="L12" s="110" t="n"/>
      <c r="M12" s="110" t="n"/>
      <c r="N12" s="52" t="n">
        <v>90</v>
      </c>
      <c r="O12" s="52" t="n">
        <v>100</v>
      </c>
      <c r="P12" s="52" t="n">
        <v>0</v>
      </c>
      <c r="Q12" s="53" t="n">
        <v>0</v>
      </c>
      <c r="R12" s="110" t="n"/>
      <c r="S12" s="109" t="n"/>
      <c r="T12" s="110" t="n"/>
      <c r="U12" s="110" t="n"/>
      <c r="V12" s="52" t="n">
        <v>100</v>
      </c>
      <c r="W12" s="52" t="n">
        <v>50</v>
      </c>
      <c r="X12" s="52" t="n">
        <v>0</v>
      </c>
      <c r="Y12" s="53" t="n">
        <v>0</v>
      </c>
      <c r="AA12" s="59" t="n"/>
      <c r="AD12" s="55" t="n">
        <v>100</v>
      </c>
      <c r="AE12" s="55" t="n">
        <v>0</v>
      </c>
      <c r="AF12" s="55" t="n">
        <v>0</v>
      </c>
      <c r="AG12" s="56" t="n">
        <v>0</v>
      </c>
      <c r="AJ12" s="8">
        <f>IF(C8&gt;9,0,D4)</f>
        <v/>
      </c>
      <c r="AK12" s="8">
        <f>IF(K8&gt;9,0,H4)</f>
        <v/>
      </c>
      <c r="AL12" s="8">
        <f>IF(S8&gt;9,0,L4)</f>
        <v/>
      </c>
      <c r="AM12" s="8">
        <f>IF(AA8&gt;9,0,P4)</f>
        <v/>
      </c>
      <c r="AO12" s="33">
        <f>AND(L4&gt;0,S8+T8+X8+Y8&lt;1)</f>
        <v/>
      </c>
      <c r="AP12" s="33" t="inlineStr">
        <is>
          <t>שגיאה אין נתיב מזרח ימין</t>
        </is>
      </c>
    </row>
    <row r="13" hidden="1" ht="15" customHeight="1">
      <c r="A13" s="110" t="n"/>
      <c r="B13" s="110" t="inlineStr">
        <is>
          <t>סה"כ</t>
        </is>
      </c>
      <c r="C13" s="109">
        <f>SUM(C10:C12)</f>
        <v/>
      </c>
      <c r="D13" s="110">
        <f>SUM(D10:D12)</f>
        <v/>
      </c>
      <c r="E13" s="110">
        <f>SUM(E10:E12)</f>
        <v/>
      </c>
      <c r="F13" s="110">
        <f>SUM(F10:F12)</f>
        <v/>
      </c>
      <c r="G13" s="110">
        <f>SUM(G10:G12)</f>
        <v/>
      </c>
      <c r="H13" s="110">
        <f>SUM(H10:H12)</f>
        <v/>
      </c>
      <c r="I13" s="111">
        <f>SUM(I10:I12)</f>
        <v/>
      </c>
      <c r="J13" s="110" t="n"/>
      <c r="K13" s="109">
        <f>SUM(K10:K12)</f>
        <v/>
      </c>
      <c r="L13" s="110">
        <f>SUM(L10:L12)</f>
        <v/>
      </c>
      <c r="M13" s="110">
        <f>SUM(M10:M12)</f>
        <v/>
      </c>
      <c r="N13" s="110">
        <f>SUM(N10:N12)</f>
        <v/>
      </c>
      <c r="O13" s="110">
        <f>SUM(O10:O12)</f>
        <v/>
      </c>
      <c r="P13" s="110">
        <f>SUM(P10:P12)</f>
        <v/>
      </c>
      <c r="Q13" s="111">
        <f>SUM(Q10:Q12)</f>
        <v/>
      </c>
      <c r="R13" s="110" t="n"/>
      <c r="S13" s="109">
        <f>SUM(S10:S12)</f>
        <v/>
      </c>
      <c r="T13" s="110">
        <f>SUM(T10:T12)</f>
        <v/>
      </c>
      <c r="U13" s="110">
        <f>SUM(U10:U12)</f>
        <v/>
      </c>
      <c r="V13" s="110">
        <f>SUM(V10:V12)</f>
        <v/>
      </c>
      <c r="W13" s="110">
        <f>SUM(W10:W12)</f>
        <v/>
      </c>
      <c r="X13" s="110">
        <f>SUM(X10:X12)</f>
        <v/>
      </c>
      <c r="Y13" s="111">
        <f>SUM(Y10:Y12)</f>
        <v/>
      </c>
      <c r="AA13" s="59">
        <f>SUM(AA10:AA12)</f>
        <v/>
      </c>
      <c r="AB13" s="8">
        <f>SUM(AB10:AB12)</f>
        <v/>
      </c>
      <c r="AC13" s="8">
        <f>SUM(AC10:AC12)</f>
        <v/>
      </c>
      <c r="AD13" s="8">
        <f>SUM(AD10:AD12)</f>
        <v/>
      </c>
      <c r="AE13" s="8">
        <f>SUM(AE10:AE12)</f>
        <v/>
      </c>
      <c r="AF13" s="8">
        <f>SUM(AF10:AF12)</f>
        <v/>
      </c>
      <c r="AG13" s="60">
        <f>SUM(AG10:AG12)</f>
        <v/>
      </c>
      <c r="AO13" s="33">
        <f>AND(M4&gt;0,T8+U8+V8+X8&lt;1)</f>
        <v/>
      </c>
      <c r="AP13" s="33" t="inlineStr">
        <is>
          <t>שגיאה אין נתיב מזרח ישר</t>
        </is>
      </c>
    </row>
    <row r="14" hidden="1" ht="15" customHeight="1">
      <c r="A14" s="110" t="n"/>
      <c r="B14" s="110" t="n"/>
      <c r="C14" s="109" t="n"/>
      <c r="D14" s="110" t="n"/>
      <c r="E14" s="110" t="n"/>
      <c r="F14" s="110" t="n"/>
      <c r="G14" s="110" t="n"/>
      <c r="H14" s="110" t="n"/>
      <c r="I14" s="111" t="n"/>
      <c r="J14" s="110" t="n"/>
      <c r="K14" s="109" t="n"/>
      <c r="L14" s="110" t="n"/>
      <c r="M14" s="110" t="n"/>
      <c r="N14" s="110" t="n"/>
      <c r="O14" s="110" t="n"/>
      <c r="P14" s="110" t="n"/>
      <c r="Q14" s="111" t="n"/>
      <c r="R14" s="110" t="n"/>
      <c r="S14" s="109" t="n"/>
      <c r="T14" s="110" t="n"/>
      <c r="U14" s="110" t="n"/>
      <c r="V14" s="110" t="n"/>
      <c r="W14" s="110" t="n"/>
      <c r="X14" s="110" t="n"/>
      <c r="Y14" s="111" t="n"/>
      <c r="AA14" s="59" t="n"/>
      <c r="AG14" s="60" t="n"/>
      <c r="AO14" s="33">
        <f>AND(N4&gt;0,V8+W8+X8+Y8&lt;1)</f>
        <v/>
      </c>
      <c r="AP14" s="33" t="inlineStr">
        <is>
          <t>שגיאה אין נתיב מזרח שמאל</t>
        </is>
      </c>
    </row>
    <row r="15" hidden="1" ht="15" customHeight="1">
      <c r="A15" s="110" t="n"/>
      <c r="B15" s="110">
        <f>C15+K15+S15+AA15</f>
        <v/>
      </c>
      <c r="C15" s="109">
        <f>C13^2*C8+D13^2*D8+E13^2*E8+F13^2*F8+G13^2*G8+H13^2*H8+I13^2*I8</f>
        <v/>
      </c>
      <c r="D15" s="110" t="n"/>
      <c r="E15" s="110" t="n"/>
      <c r="F15" s="110" t="n"/>
      <c r="G15" s="110" t="n"/>
      <c r="H15" s="110" t="n"/>
      <c r="I15" s="111" t="n"/>
      <c r="J15" s="110" t="n"/>
      <c r="K15" s="109">
        <f>K13^2*K8+L13^2*L8+M13^2*M8+N13^2*N8+O13^2*O8+P13^2*P8+Q13^2*Q8</f>
        <v/>
      </c>
      <c r="L15" s="110" t="n"/>
      <c r="M15" s="110" t="n"/>
      <c r="N15" s="110" t="n"/>
      <c r="O15" s="110" t="n"/>
      <c r="P15" s="110" t="n"/>
      <c r="Q15" s="111" t="n"/>
      <c r="R15" s="110" t="n"/>
      <c r="S15" s="109">
        <f>S13^2*S8+T13^2*T8+U13^2*U8+V13^2*V8+W13^2*W8+X13^2*X8+Y13^2*Y8</f>
        <v/>
      </c>
      <c r="T15" s="110" t="n"/>
      <c r="U15" s="110" t="n"/>
      <c r="V15" s="110" t="n"/>
      <c r="W15" s="110" t="n"/>
      <c r="X15" s="110" t="n"/>
      <c r="Y15" s="111" t="n"/>
      <c r="AA15" s="59">
        <f>AA13^2*AA8+AB13^2*AB8+AC13^2*AC8+AD13^2*AD8+AE13^2*AE8+AF13^2*AF8+AG13^2*AG8</f>
        <v/>
      </c>
      <c r="AG15" s="60" t="n"/>
      <c r="AO15" s="33">
        <f>AND(P4&gt;0,AA8+AB8+AF8+AG8&lt;1)</f>
        <v/>
      </c>
      <c r="AP15" s="33" t="inlineStr">
        <is>
          <t>שגיאה אין נתיב מערב ימין</t>
        </is>
      </c>
    </row>
    <row r="16" hidden="1" ht="15" customHeight="1">
      <c r="A16" s="110" t="n"/>
      <c r="B16" s="110" t="n"/>
      <c r="C16" s="109" t="n"/>
      <c r="D16" s="110" t="n"/>
      <c r="E16" s="110" t="n"/>
      <c r="F16" s="110" t="n"/>
      <c r="G16" s="110" t="n"/>
      <c r="H16" s="110" t="n"/>
      <c r="I16" s="111" t="n"/>
      <c r="J16" s="110" t="n"/>
      <c r="K16" s="109" t="n"/>
      <c r="L16" s="110" t="n"/>
      <c r="M16" s="110" t="n"/>
      <c r="N16" s="110" t="n"/>
      <c r="O16" s="110" t="n"/>
      <c r="P16" s="110" t="n"/>
      <c r="Q16" s="111" t="n"/>
      <c r="R16" s="110" t="n"/>
      <c r="S16" s="109" t="n"/>
      <c r="T16" s="110" t="n"/>
      <c r="U16" s="110" t="n"/>
      <c r="V16" s="110" t="n"/>
      <c r="W16" s="110" t="n"/>
      <c r="X16" s="110" t="n"/>
      <c r="Y16" s="111" t="n"/>
      <c r="AA16" s="59" t="n"/>
      <c r="AG16" s="60" t="n"/>
      <c r="AO16" s="33">
        <f>AND(Q4&gt;0,AB8+AC8+AD8+AF8&lt;1)</f>
        <v/>
      </c>
      <c r="AP16" s="33" t="inlineStr">
        <is>
          <t>שגיאה אין נתיב מערב ישר</t>
        </is>
      </c>
    </row>
    <row r="17" hidden="1" ht="15" customFormat="1" customHeight="1" s="68">
      <c r="A17" s="99" t="n"/>
      <c r="B17" s="99" t="inlineStr">
        <is>
          <t>נפח בנתיב</t>
        </is>
      </c>
      <c r="C17" s="62">
        <f>IF(C8&gt;0,C13,0)</f>
        <v/>
      </c>
      <c r="D17" s="63">
        <f>IF(D8&gt;0,D13,0)</f>
        <v/>
      </c>
      <c r="E17" s="63">
        <f>IF(E8&gt;0,E13,0)</f>
        <v/>
      </c>
      <c r="F17" s="63">
        <f>IF(F8&gt;0,F13,0)</f>
        <v/>
      </c>
      <c r="G17" s="63">
        <f>IF(G8&gt;0,G13,0)</f>
        <v/>
      </c>
      <c r="H17" s="63">
        <f>IF(H8&gt;0,H13,0)</f>
        <v/>
      </c>
      <c r="I17" s="64">
        <f>IF(I8&gt;0,I13,0)</f>
        <v/>
      </c>
      <c r="J17" s="110" t="n"/>
      <c r="K17" s="62">
        <f>IF(K8&gt;0,K13,0)</f>
        <v/>
      </c>
      <c r="L17" s="63">
        <f>IF(L8&gt;0,L13,0)</f>
        <v/>
      </c>
      <c r="M17" s="63">
        <f>IF(M8&gt;0,M13,0)</f>
        <v/>
      </c>
      <c r="N17" s="63">
        <f>IF(N8&gt;0,N13,0)</f>
        <v/>
      </c>
      <c r="O17" s="63">
        <f>IF(O8&gt;0,O13,0)</f>
        <v/>
      </c>
      <c r="P17" s="63">
        <f>IF(P8&gt;0,P13,0)</f>
        <v/>
      </c>
      <c r="Q17" s="64">
        <f>IF(Q8&gt;0,Q13,0)</f>
        <v/>
      </c>
      <c r="R17" s="110" t="n"/>
      <c r="S17" s="62">
        <f>IF(S8&gt;0,S13,0)</f>
        <v/>
      </c>
      <c r="T17" s="63">
        <f>IF(T8&gt;0,T13,0)</f>
        <v/>
      </c>
      <c r="U17" s="63">
        <f>IF(U8&gt;0,U13,0)</f>
        <v/>
      </c>
      <c r="V17" s="63">
        <f>IF(V8&gt;0,V13,0)</f>
        <v/>
      </c>
      <c r="W17" s="63">
        <f>IF(W8&gt;0,W13,0)</f>
        <v/>
      </c>
      <c r="X17" s="63">
        <f>IF(X8&gt;0,X13,0)</f>
        <v/>
      </c>
      <c r="Y17" s="64">
        <f>IF(Y8&gt;0,Y13,0)</f>
        <v/>
      </c>
      <c r="Z17" s="8" t="n"/>
      <c r="AA17" s="65">
        <f>IF(AA8&gt;0,AA13,0)</f>
        <v/>
      </c>
      <c r="AB17" s="66">
        <f>IF(AB8&gt;0,AB13,0)</f>
        <v/>
      </c>
      <c r="AC17" s="66">
        <f>IF(AC8&gt;0,AC13,0)</f>
        <v/>
      </c>
      <c r="AD17" s="66">
        <f>IF(AD8&gt;0,AD13,0)</f>
        <v/>
      </c>
      <c r="AE17" s="66">
        <f>IF(AE8&gt;0,AE13,0)</f>
        <v/>
      </c>
      <c r="AF17" s="66">
        <f>IF(AF8&gt;0,AF13,0)</f>
        <v/>
      </c>
      <c r="AG17" s="67">
        <f>IF(AG8&gt;0,AG13,0)</f>
        <v/>
      </c>
      <c r="AH17" s="8" t="n"/>
      <c r="AO17" s="69">
        <f>AND(R4&gt;0,AD8+AE8+AF8+AG8&lt;1)</f>
        <v/>
      </c>
      <c r="AP17" s="33" t="inlineStr">
        <is>
          <t>שגיאה אין נתיב מערב שמאל</t>
        </is>
      </c>
    </row>
    <row r="18" hidden="1" ht="15" customFormat="1" customHeight="1" s="68">
      <c r="A18" s="99" t="inlineStr">
        <is>
          <t>זרועות</t>
        </is>
      </c>
      <c r="B18" s="99" t="n"/>
      <c r="C18" s="70" t="n"/>
      <c r="D18" s="99" t="n"/>
      <c r="E18" s="99" t="n"/>
      <c r="F18" s="99">
        <f>MAX(C17:I17)</f>
        <v/>
      </c>
      <c r="G18" s="99" t="n"/>
      <c r="H18" s="99" t="n"/>
      <c r="I18" s="71" t="n"/>
      <c r="J18" s="110" t="n"/>
      <c r="K18" s="70" t="n"/>
      <c r="L18" s="99" t="n"/>
      <c r="M18" s="99" t="n"/>
      <c r="N18" s="99">
        <f>MAX(K17:Q17)</f>
        <v/>
      </c>
      <c r="O18" s="99" t="n"/>
      <c r="P18" s="99" t="n"/>
      <c r="Q18" s="71" t="n"/>
      <c r="R18" s="110" t="n"/>
      <c r="S18" s="70" t="n"/>
      <c r="T18" s="99" t="n"/>
      <c r="U18" s="99" t="n"/>
      <c r="V18" s="99">
        <f>MAX(S17:Y17)</f>
        <v/>
      </c>
      <c r="W18" s="99" t="n"/>
      <c r="X18" s="99" t="n"/>
      <c r="Y18" s="71" t="n"/>
      <c r="Z18" s="8" t="n"/>
      <c r="AA18" s="72" t="n"/>
      <c r="AD18" s="68">
        <f>MAX(AA17:AG17)</f>
        <v/>
      </c>
      <c r="AG18" s="73" t="n"/>
      <c r="AH18" s="8" t="n"/>
      <c r="AO18" s="69" t="b">
        <v>1</v>
      </c>
      <c r="AP18" s="74" t="inlineStr">
        <is>
          <t>תקין</t>
        </is>
      </c>
    </row>
    <row r="19" hidden="1" ht="15" customFormat="1" customHeight="1" s="68">
      <c r="A19" s="99" t="inlineStr">
        <is>
          <t>פניות שמאלה</t>
        </is>
      </c>
      <c r="B19" s="99" t="n"/>
      <c r="C19" s="70" t="n"/>
      <c r="D19" s="99">
        <f>IF(F$8+H$8+I$8+N$8+P$8+Q$8=0,0,10000)</f>
        <v/>
      </c>
      <c r="E19" s="99" t="n"/>
      <c r="F19" s="99">
        <f>MAX(C17:F17,H17:I17,K17:N17,P17:Q17)</f>
        <v/>
      </c>
      <c r="G19" s="99" t="n"/>
      <c r="H19" s="99" t="n"/>
      <c r="I19" s="71" t="n"/>
      <c r="J19" s="110" t="n"/>
      <c r="K19" s="70" t="n"/>
      <c r="L19" s="99" t="n"/>
      <c r="M19" s="99" t="n"/>
      <c r="N19" s="99">
        <f>MAX(G17,O17)+D19</f>
        <v/>
      </c>
      <c r="O19" s="99" t="n"/>
      <c r="P19" s="99" t="n"/>
      <c r="Q19" s="71" t="n"/>
      <c r="R19" s="110" t="n"/>
      <c r="S19" s="70" t="n"/>
      <c r="T19" s="99">
        <f>IF(V$8+X$8+Y$8+AD$8+AF$8+AG$8=0,0,10000)</f>
        <v/>
      </c>
      <c r="U19" s="99" t="n"/>
      <c r="V19" s="99">
        <f>MAX(S17:V17,X17:Y17,AA17:AD17,AF17:AG17)</f>
        <v/>
      </c>
      <c r="W19" s="99" t="n"/>
      <c r="X19" s="99" t="n"/>
      <c r="Y19" s="71" t="n"/>
      <c r="Z19" s="8" t="n"/>
      <c r="AA19" s="72" t="n"/>
      <c r="AD19" s="68">
        <f>MAX(W17,AE17)+T19</f>
        <v/>
      </c>
      <c r="AG19" s="73" t="n"/>
      <c r="AH19" s="8" t="n"/>
      <c r="AP19" s="75">
        <f>VLOOKUP(TRUE,AO4:AP18,2,FALSE)</f>
        <v/>
      </c>
    </row>
    <row r="20" hidden="1" customFormat="1" s="68">
      <c r="A20" s="99" t="inlineStr">
        <is>
          <t>פאזה מתמשכת צפון/מזרח</t>
        </is>
      </c>
      <c r="C20" s="70" t="n"/>
      <c r="D20" s="99">
        <f>IF(F$8+H$8+I$8+G$8+N$8+P$8+Q$8=0,0,10000)</f>
        <v/>
      </c>
      <c r="E20" s="99" t="n"/>
      <c r="F20" s="99">
        <f>MAX(MAX(C17:I17),MAX(K17:M17)-N20)+D20</f>
        <v/>
      </c>
      <c r="G20" s="99" t="n"/>
      <c r="H20" s="99" t="n"/>
      <c r="I20" s="71" t="n"/>
      <c r="J20" s="110" t="n"/>
      <c r="K20" s="70" t="n"/>
      <c r="L20" s="99" t="n"/>
      <c r="M20" s="99" t="n"/>
      <c r="N20" s="99">
        <f>O17</f>
        <v/>
      </c>
      <c r="O20" s="99" t="n"/>
      <c r="P20" s="99" t="n"/>
      <c r="Q20" s="71" t="n"/>
      <c r="R20" s="110" t="n"/>
      <c r="S20" s="70" t="n"/>
      <c r="T20" s="99">
        <f>IF(V$8+X$8+Y$8+W$8+AD$8+AF$8+AG$8=0,0,10000)</f>
        <v/>
      </c>
      <c r="U20" s="99" t="n"/>
      <c r="V20" s="99">
        <f>MAX(MAX(S17:Y17),MAX(AA17:AC17)-AD20)+T20</f>
        <v/>
      </c>
      <c r="W20" s="99" t="n"/>
      <c r="X20" s="99" t="n"/>
      <c r="Y20" s="71" t="n"/>
      <c r="Z20" s="8" t="n"/>
      <c r="AA20" s="72" t="n"/>
      <c r="AD20" s="68">
        <f>AE17</f>
        <v/>
      </c>
      <c r="AG20" s="73" t="n"/>
      <c r="AH20" s="8" t="n"/>
    </row>
    <row r="21" hidden="1" customFormat="1" s="68">
      <c r="A21" s="99" t="inlineStr">
        <is>
          <t>פאזה מתמשכת דרום/מערב</t>
        </is>
      </c>
      <c r="C21" s="70" t="n"/>
      <c r="D21" s="99">
        <f>IF(F$8+H$8+I$8+N$8+P$8+Q$8+O$8=0,0,10000)</f>
        <v/>
      </c>
      <c r="E21" s="99" t="n"/>
      <c r="F21" s="99">
        <f>G17</f>
        <v/>
      </c>
      <c r="G21" s="99" t="n"/>
      <c r="H21" s="99" t="n"/>
      <c r="I21" s="71" t="n"/>
      <c r="J21" s="110" t="n"/>
      <c r="K21" s="70" t="n"/>
      <c r="L21" s="99" t="n"/>
      <c r="M21" s="99" t="n"/>
      <c r="N21" s="99">
        <f>MAX(MAX(K17:Q17),MAX(C17:E17)-F21)+D21</f>
        <v/>
      </c>
      <c r="O21" s="99" t="n"/>
      <c r="P21" s="99" t="n"/>
      <c r="Q21" s="71" t="n"/>
      <c r="R21" s="110" t="n"/>
      <c r="S21" s="70" t="n"/>
      <c r="T21" s="99">
        <f>IF(V$8+X$8+Y$8+AD$8+AF$8+AG$8+AE$8=0,0,10000)</f>
        <v/>
      </c>
      <c r="U21" s="99" t="n"/>
      <c r="V21" s="99">
        <f>W17</f>
        <v/>
      </c>
      <c r="W21" s="99" t="n"/>
      <c r="X21" s="99" t="n"/>
      <c r="Y21" s="71" t="n"/>
      <c r="Z21" s="8" t="n"/>
      <c r="AA21" s="72" t="n"/>
      <c r="AD21" s="68">
        <f>MAX(MAX(AA17:AG17),MAX(S17:U17)-V21)+T21</f>
        <v/>
      </c>
      <c r="AG21" s="73" t="n"/>
      <c r="AH21" s="8" t="n"/>
    </row>
    <row r="22" hidden="1" customFormat="1" s="68">
      <c r="A22" s="99" t="n"/>
      <c r="B22" s="99" t="n"/>
      <c r="C22" s="70" t="n"/>
      <c r="D22" s="99" t="n"/>
      <c r="E22" s="99" t="n"/>
      <c r="F22" s="99" t="n"/>
      <c r="G22" s="99" t="n"/>
      <c r="H22" s="99" t="n"/>
      <c r="I22" s="71" t="n"/>
      <c r="J22" s="110" t="n"/>
      <c r="K22" s="70" t="n"/>
      <c r="L22" s="99" t="n"/>
      <c r="M22" s="99" t="n"/>
      <c r="N22" s="99" t="n"/>
      <c r="O22" s="99" t="n"/>
      <c r="P22" s="99" t="n"/>
      <c r="Q22" s="71" t="n"/>
      <c r="R22" s="110" t="n"/>
      <c r="S22" s="70" t="n"/>
      <c r="T22" s="99" t="n"/>
      <c r="U22" s="99" t="n"/>
      <c r="V22" s="99" t="n"/>
      <c r="W22" s="99" t="n"/>
      <c r="X22" s="99" t="n"/>
      <c r="Y22" s="71" t="n"/>
      <c r="Z22" s="8" t="n"/>
      <c r="AA22" s="72" t="n"/>
      <c r="AG22" s="73" t="n"/>
      <c r="AH22" s="8" t="n"/>
    </row>
    <row r="23" hidden="1" customFormat="1" s="68">
      <c r="A23" s="99" t="n"/>
      <c r="B23" s="99" t="n"/>
      <c r="C23" s="70" t="n"/>
      <c r="D23" s="99" t="n"/>
      <c r="E23" s="99" t="n"/>
      <c r="F23" s="99" t="n"/>
      <c r="G23" s="99" t="n"/>
      <c r="H23" s="99" t="n"/>
      <c r="I23" s="71" t="n"/>
      <c r="J23" s="110" t="n"/>
      <c r="K23" s="70" t="n"/>
      <c r="L23" s="99" t="n"/>
      <c r="M23" s="99" t="n"/>
      <c r="N23" s="99" t="n"/>
      <c r="O23" s="99" t="n"/>
      <c r="P23" s="99" t="n"/>
      <c r="Q23" s="71" t="n"/>
      <c r="R23" s="110" t="n"/>
      <c r="S23" s="70" t="n"/>
      <c r="T23" s="99" t="n"/>
      <c r="U23" s="99" t="n"/>
      <c r="V23" s="99" t="n"/>
      <c r="W23" s="99" t="n"/>
      <c r="X23" s="99" t="n"/>
      <c r="Y23" s="71" t="n"/>
      <c r="Z23" s="8" t="n"/>
      <c r="AA23" s="72" t="n"/>
      <c r="AG23" s="73" t="n"/>
      <c r="AH23" s="8" t="n"/>
    </row>
    <row r="24" hidden="1" customFormat="1" s="68">
      <c r="A24" s="99" t="n"/>
      <c r="B24" s="99" t="n"/>
      <c r="C24" s="70" t="n"/>
      <c r="D24" s="99" t="n"/>
      <c r="E24" s="99" t="n"/>
      <c r="F24" s="99" t="n"/>
      <c r="G24" s="99" t="n"/>
      <c r="H24" s="99" t="n"/>
      <c r="I24" s="71" t="n"/>
      <c r="J24" s="110" t="n"/>
      <c r="K24" s="70" t="n"/>
      <c r="L24" s="99" t="n"/>
      <c r="M24" s="99" t="n"/>
      <c r="N24" s="99" t="n"/>
      <c r="O24" s="99" t="n"/>
      <c r="P24" s="99" t="n"/>
      <c r="Q24" s="71" t="n"/>
      <c r="R24" s="110" t="n"/>
      <c r="S24" s="70" t="n"/>
      <c r="T24" s="99" t="n"/>
      <c r="U24" s="99" t="n"/>
      <c r="V24" s="99" t="n"/>
      <c r="W24" s="99" t="n"/>
      <c r="X24" s="99" t="n"/>
      <c r="Y24" s="71" t="n"/>
      <c r="Z24" s="8" t="n"/>
      <c r="AA24" s="72" t="n"/>
      <c r="AG24" s="73" t="n"/>
      <c r="AH24" s="8" t="n"/>
    </row>
    <row r="25" hidden="1" customFormat="1" s="68">
      <c r="A25" s="99" t="n"/>
      <c r="B25" s="99" t="n"/>
      <c r="C25" s="70" t="n"/>
      <c r="D25" s="99" t="n"/>
      <c r="E25" s="99" t="n"/>
      <c r="F25" s="99" t="n"/>
      <c r="G25" s="99" t="n"/>
      <c r="H25" s="99" t="n"/>
      <c r="I25" s="71" t="n"/>
      <c r="J25" s="110" t="n"/>
      <c r="K25" s="70" t="n"/>
      <c r="L25" s="99" t="n"/>
      <c r="M25" s="99" t="n"/>
      <c r="N25" s="99" t="n"/>
      <c r="O25" s="99" t="n"/>
      <c r="P25" s="99" t="n"/>
      <c r="Q25" s="71" t="n"/>
      <c r="R25" s="110" t="n"/>
      <c r="S25" s="70" t="n"/>
      <c r="T25" s="99" t="n"/>
      <c r="U25" s="99" t="n"/>
      <c r="V25" s="99" t="n"/>
      <c r="W25" s="99" t="n"/>
      <c r="X25" s="99" t="n"/>
      <c r="Y25" s="71" t="n"/>
      <c r="Z25" s="8" t="n"/>
      <c r="AA25" s="72" t="n"/>
      <c r="AG25" s="73" t="n"/>
      <c r="AH25" s="8" t="n"/>
    </row>
    <row r="26" hidden="1" ht="15" customHeight="1">
      <c r="A26" s="110" t="inlineStr">
        <is>
          <t>בדיקה לv ולשיטה</t>
        </is>
      </c>
      <c r="B26" s="110" t="n"/>
      <c r="C26" s="109" t="n"/>
      <c r="D26" s="110" t="n"/>
      <c r="E26" s="110" t="n"/>
      <c r="F26" s="110">
        <f>COUNT(C31:J33)</f>
        <v/>
      </c>
      <c r="G26" s="76">
        <f>1600-50*F26</f>
        <v/>
      </c>
      <c r="H26" s="110" t="n"/>
      <c r="I26" s="111" t="n"/>
      <c r="J26" s="110" t="n"/>
      <c r="K26" s="109" t="n"/>
      <c r="L26" s="110" t="n"/>
      <c r="M26" s="110" t="n"/>
      <c r="N26" s="110" t="n"/>
      <c r="O26" s="76" t="n"/>
      <c r="P26" s="110" t="n"/>
      <c r="Q26" s="111" t="n"/>
      <c r="R26" s="110" t="n"/>
      <c r="S26" s="109" t="n"/>
      <c r="T26" s="110" t="n"/>
      <c r="U26" s="110" t="n"/>
      <c r="V26" s="110" t="n"/>
      <c r="W26" s="76" t="n"/>
      <c r="X26" s="110" t="n"/>
      <c r="Y26" s="111" t="n"/>
      <c r="AA26" s="59" t="n"/>
      <c r="AE26" s="77" t="n"/>
      <c r="AG26" s="60" t="n"/>
    </row>
    <row r="27" hidden="1">
      <c r="A27" s="110" t="n"/>
      <c r="B27" s="110" t="n"/>
      <c r="C27" s="109" t="n"/>
      <c r="D27" s="110" t="n"/>
      <c r="E27" s="110" t="n"/>
      <c r="F27" s="110" t="n"/>
      <c r="G27" s="110" t="n"/>
      <c r="H27" s="110" t="n"/>
      <c r="I27" s="111" t="n"/>
      <c r="J27" s="110" t="n"/>
      <c r="K27" s="109" t="n"/>
      <c r="L27" s="110" t="n"/>
      <c r="M27" s="110" t="n"/>
      <c r="N27" s="110" t="n"/>
      <c r="O27" s="110" t="n"/>
      <c r="P27" s="110" t="n"/>
      <c r="Q27" s="111" t="n"/>
      <c r="R27" s="110" t="n"/>
      <c r="S27" s="109" t="n"/>
      <c r="T27" s="110" t="n"/>
      <c r="U27" s="110" t="n"/>
      <c r="V27" s="110" t="n"/>
      <c r="W27" s="110" t="n"/>
      <c r="X27" s="110" t="n"/>
      <c r="Y27" s="111" t="n"/>
      <c r="AA27" s="59" t="n"/>
      <c r="AG27" s="60" t="n"/>
    </row>
    <row r="28" hidden="1">
      <c r="A28" s="110" t="n"/>
      <c r="B28" s="110" t="n"/>
      <c r="C28" s="109" t="n"/>
      <c r="D28" s="110" t="n"/>
      <c r="E28" s="110" t="n"/>
      <c r="F28" s="110" t="n"/>
      <c r="G28" s="110" t="n"/>
      <c r="H28" s="110" t="n"/>
      <c r="I28" s="111" t="n"/>
      <c r="J28" s="110" t="n"/>
      <c r="K28" s="109" t="n"/>
      <c r="L28" s="110" t="n"/>
      <c r="M28" s="110" t="n"/>
      <c r="N28" s="110" t="n"/>
      <c r="O28" s="110" t="n"/>
      <c r="P28" s="110" t="n"/>
      <c r="Q28" s="111" t="n"/>
      <c r="R28" s="110" t="n"/>
      <c r="S28" s="109" t="n"/>
      <c r="T28" s="110" t="n"/>
      <c r="U28" s="110" t="n"/>
      <c r="V28" s="110" t="n"/>
      <c r="W28" s="110" t="n"/>
      <c r="X28" s="110" t="n"/>
      <c r="Y28" s="111" t="n"/>
      <c r="AA28" s="59" t="n"/>
      <c r="AG28" s="60" t="n"/>
    </row>
    <row r="29" ht="15" customHeight="1">
      <c r="A29" s="110" t="n"/>
      <c r="B29" s="110" t="n"/>
      <c r="C29" s="155">
        <f>C2</f>
        <v/>
      </c>
      <c r="I29" s="156" t="n"/>
      <c r="J29" s="110" t="n"/>
      <c r="K29" s="157">
        <f>G2</f>
        <v/>
      </c>
      <c r="Q29" s="156" t="n"/>
      <c r="R29" s="110" t="n"/>
      <c r="S29" s="158">
        <f>K2</f>
        <v/>
      </c>
      <c r="Y29" s="156" t="n"/>
      <c r="AA29" s="159">
        <f>O2</f>
        <v/>
      </c>
      <c r="AG29" s="156" t="n"/>
    </row>
    <row r="30" ht="15" customHeight="1" thickBot="1">
      <c r="A30" s="110" t="n"/>
      <c r="B30" s="110" t="n"/>
      <c r="C30" s="160" t="n"/>
      <c r="D30" s="161" t="n"/>
      <c r="E30" s="161" t="n"/>
      <c r="F30" s="161" t="n"/>
      <c r="G30" s="161" t="n"/>
      <c r="H30" s="161" t="n"/>
      <c r="I30" s="162" t="n"/>
      <c r="J30" s="110" t="n"/>
      <c r="K30" s="160" t="n"/>
      <c r="L30" s="161" t="n"/>
      <c r="M30" s="161" t="n"/>
      <c r="N30" s="161" t="n"/>
      <c r="O30" s="161" t="n"/>
      <c r="P30" s="161" t="n"/>
      <c r="Q30" s="162" t="n"/>
      <c r="R30" s="110" t="n"/>
      <c r="S30" s="160" t="n"/>
      <c r="T30" s="161" t="n"/>
      <c r="U30" s="161" t="n"/>
      <c r="V30" s="161" t="n"/>
      <c r="W30" s="161" t="n"/>
      <c r="X30" s="161" t="n"/>
      <c r="Y30" s="162" t="n"/>
      <c r="AA30" s="160" t="n"/>
      <c r="AB30" s="161" t="n"/>
      <c r="AC30" s="161" t="n"/>
      <c r="AD30" s="161" t="n"/>
      <c r="AE30" s="161" t="n"/>
      <c r="AF30" s="161" t="n"/>
      <c r="AG30" s="162" t="n"/>
    </row>
    <row r="31" ht="15" customHeight="1"/>
    <row r="32" ht="15" customHeight="1">
      <c r="N32" s="9" t="n"/>
    </row>
    <row r="33" ht="15.75" customHeight="1">
      <c r="N33" s="9" t="n"/>
    </row>
    <row r="34" ht="15" customHeight="1" thickBot="1"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  <c r="X34" s="110" t="n"/>
      <c r="Y34" s="110" t="n"/>
      <c r="Z34" s="110" t="n"/>
      <c r="AA34" s="110" t="n"/>
      <c r="AB34" s="110" t="n"/>
    </row>
    <row r="35" ht="15" customHeight="1" thickBot="1">
      <c r="H35" s="106">
        <f>AP19</f>
        <v/>
      </c>
      <c r="I35" s="153" t="n"/>
      <c r="J35" s="153" t="n"/>
      <c r="K35" s="153" t="n"/>
      <c r="L35" s="154" t="n"/>
      <c r="O35" s="110" t="n"/>
      <c r="R35" s="115" t="inlineStr">
        <is>
          <t>מידע כללי לצומת</t>
        </is>
      </c>
      <c r="S35" s="163" t="n"/>
      <c r="U35" s="110" t="n"/>
      <c r="V35" s="115" t="inlineStr">
        <is>
          <t>נתונים נוספים לחישוב</t>
        </is>
      </c>
      <c r="W35" s="163" t="n"/>
      <c r="X35" s="78" t="n"/>
      <c r="Y35" s="78" t="n"/>
      <c r="Z35" s="115" t="inlineStr">
        <is>
          <t>חישוב רמת שירות לרק"ל</t>
        </is>
      </c>
      <c r="AA35" s="163" t="n"/>
      <c r="AB35" s="110" t="n"/>
    </row>
    <row r="36" ht="15.75" customHeight="1" thickBot="1">
      <c r="H36" s="164" t="n"/>
      <c r="L36" s="156" t="n"/>
      <c r="O36" s="110" t="n"/>
      <c r="R36" s="94" t="inlineStr">
        <is>
          <t>שם הפרויקט</t>
        </is>
      </c>
      <c r="S36" s="98" t="n"/>
      <c r="U36" s="110" t="n"/>
      <c r="V36" s="79" t="n">
        <v>1800</v>
      </c>
      <c r="W36" s="80" t="inlineStr">
        <is>
          <t>capacity</t>
        </is>
      </c>
      <c r="X36" s="78" t="n"/>
      <c r="Y36" s="78" t="n"/>
      <c r="Z36" s="81" t="n">
        <v>0</v>
      </c>
      <c r="AA36" s="82" t="inlineStr">
        <is>
          <t>rakal_calc</t>
        </is>
      </c>
      <c r="AB36" s="110" t="n"/>
    </row>
    <row r="37" ht="16.5" customHeight="1" thickBot="1" thickTop="1">
      <c r="H37" s="164" t="n"/>
      <c r="L37" s="156" t="n"/>
      <c r="O37" s="110" t="n"/>
      <c r="R37" s="94" t="inlineStr">
        <is>
          <t>מספר הפרויקט</t>
        </is>
      </c>
      <c r="S37" s="96" t="n"/>
      <c r="U37" s="110" t="n"/>
      <c r="V37" s="83" t="n">
        <v>1</v>
      </c>
      <c r="W37" s="84" t="inlineStr">
        <is>
          <t>nlslallowed</t>
        </is>
      </c>
      <c r="X37" s="78" t="n"/>
      <c r="Y37" s="78" t="n"/>
      <c r="Z37" s="85" t="n">
        <v>120</v>
      </c>
      <c r="AA37" s="86" t="inlineStr">
        <is>
          <t>cycle_time</t>
        </is>
      </c>
      <c r="AB37" s="110" t="n"/>
    </row>
    <row r="38" ht="16.5" customHeight="1" thickBot="1" thickTop="1">
      <c r="H38" s="160" t="n"/>
      <c r="I38" s="161" t="n"/>
      <c r="J38" s="161" t="n"/>
      <c r="K38" s="161" t="n"/>
      <c r="L38" s="162" t="n"/>
      <c r="O38" s="110" t="n"/>
      <c r="R38" s="94" t="inlineStr">
        <is>
          <t>שם המריץ</t>
        </is>
      </c>
      <c r="S38" s="96" t="n"/>
      <c r="U38" s="110" t="n"/>
      <c r="V38" s="83" t="n">
        <v>1</v>
      </c>
      <c r="W38" s="84" t="inlineStr">
        <is>
          <t>elwlallowed</t>
        </is>
      </c>
      <c r="X38" s="78" t="n"/>
      <c r="Y38" s="78" t="n"/>
      <c r="Z38" s="85" t="n">
        <v>25</v>
      </c>
      <c r="AA38" s="86" t="inlineStr">
        <is>
          <t>train_lost_time</t>
        </is>
      </c>
      <c r="AB38" s="110" t="n"/>
    </row>
    <row r="39" ht="16.5" customHeight="1" thickBot="1" thickTop="1"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87" t="n"/>
      <c r="P39" s="87" t="n"/>
      <c r="Q39" s="87" t="n"/>
      <c r="R39" s="94" t="inlineStr">
        <is>
          <t>מספר הרצה</t>
        </is>
      </c>
      <c r="S39" s="96" t="n"/>
      <c r="T39" s="110" t="n"/>
      <c r="U39" s="110" t="n"/>
      <c r="V39" s="83" t="n">
        <v>1</v>
      </c>
      <c r="W39" s="84" t="inlineStr">
        <is>
          <t>5TH IMAGE</t>
        </is>
      </c>
      <c r="X39" s="78" t="n"/>
      <c r="Y39" s="78" t="n"/>
      <c r="Z39" s="88" t="n">
        <v>4</v>
      </c>
      <c r="AA39" s="89" t="inlineStr">
        <is>
          <t>train headway</t>
        </is>
      </c>
      <c r="AB39" s="110" t="n"/>
    </row>
    <row r="40" ht="16.5" customHeight="1" thickBot="1" thickTop="1"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87" t="n"/>
      <c r="P40" s="87" t="n"/>
      <c r="Q40" s="87" t="n"/>
      <c r="R40" s="95" t="inlineStr">
        <is>
          <t>הערות נוספות</t>
        </is>
      </c>
      <c r="S40" s="97" t="n"/>
      <c r="T40" s="110" t="n"/>
      <c r="U40" s="110" t="n"/>
      <c r="V40" s="83" t="n">
        <v>0</v>
      </c>
      <c r="W40" s="84" t="inlineStr">
        <is>
          <t>6TH IMAGE</t>
        </is>
      </c>
      <c r="X40" s="78" t="n"/>
      <c r="Y40" s="78" t="n"/>
      <c r="Z40" s="90" t="n">
        <v>1</v>
      </c>
      <c r="AA40" s="91" t="inlineStr">
        <is>
          <t>מקדם ית"ן</t>
        </is>
      </c>
      <c r="AB40" s="110" t="n"/>
    </row>
    <row r="41" ht="16.5" customHeight="1" thickBot="1" thickTop="1">
      <c r="O41" s="110" t="n"/>
      <c r="P41" s="110" t="n"/>
      <c r="Q41" s="110" t="n"/>
      <c r="R41" s="110" t="n"/>
      <c r="S41" s="110" t="n"/>
      <c r="T41" s="110" t="n"/>
      <c r="U41" s="110" t="n"/>
      <c r="V41" s="83" t="n">
        <v>3</v>
      </c>
      <c r="W41" s="84" t="inlineStr">
        <is>
          <t>geometry N_S</t>
        </is>
      </c>
      <c r="X41" s="78" t="n"/>
      <c r="Y41" s="78" t="n"/>
      <c r="Z41" s="90" t="n">
        <v>0</v>
      </c>
      <c r="AA41" s="91" t="inlineStr">
        <is>
          <t>זמן אבוד</t>
        </is>
      </c>
      <c r="AB41" s="110" t="n"/>
    </row>
    <row r="42" ht="16.5" customHeight="1" thickBot="1" thickTop="1">
      <c r="O42" s="110" t="n"/>
      <c r="P42" s="110" t="n"/>
      <c r="Q42" s="110" t="n"/>
      <c r="R42" s="110" t="n"/>
      <c r="S42" s="110" t="n"/>
      <c r="T42" s="110" t="n"/>
      <c r="U42" s="110" t="n"/>
      <c r="V42" s="83" t="n">
        <v>3</v>
      </c>
      <c r="W42" s="84" t="inlineStr">
        <is>
          <t>geometry E_W</t>
        </is>
      </c>
      <c r="X42" s="78" t="n"/>
      <c r="Y42" s="78" t="n"/>
      <c r="Z42" s="78" t="n"/>
      <c r="AA42" s="78" t="n"/>
      <c r="AB42" s="110" t="n"/>
    </row>
    <row r="43" ht="16.5" customHeight="1" thickBot="1" thickTop="1">
      <c r="O43" s="110" t="n"/>
      <c r="P43" s="110" t="n"/>
      <c r="Q43" s="110" t="n"/>
      <c r="R43" s="110" t="n"/>
      <c r="S43" s="110" t="n"/>
      <c r="T43" s="110" t="n"/>
      <c r="U43" s="110" t="n"/>
      <c r="V43" s="83" t="n">
        <v>0</v>
      </c>
      <c r="W43" s="84" t="inlineStr">
        <is>
          <t>looping</t>
        </is>
      </c>
      <c r="X43" s="78" t="n"/>
      <c r="Y43" s="78" t="n"/>
      <c r="Z43" s="78" t="n"/>
      <c r="AA43" s="78" t="n"/>
      <c r="AB43" s="110" t="n"/>
    </row>
    <row r="44" ht="16.5" customHeight="1" thickBot="1" thickTop="1">
      <c r="O44" s="110" t="n"/>
      <c r="P44" s="110" t="n"/>
      <c r="Q44" s="110" t="n"/>
      <c r="R44" s="110" t="n"/>
      <c r="S44" s="110" t="n"/>
      <c r="T44" s="110" t="n"/>
      <c r="U44" s="110" t="n"/>
      <c r="V44" s="83" t="n">
        <v>0</v>
      </c>
      <c r="W44" s="84" t="inlineStr">
        <is>
          <t>LRT N_S</t>
        </is>
      </c>
      <c r="X44" s="78" t="n"/>
      <c r="Y44" s="78" t="n"/>
      <c r="Z44" s="78" t="n"/>
      <c r="AA44" s="78" t="n"/>
      <c r="AB44" s="110" t="n"/>
    </row>
    <row r="45" ht="16.5" customHeight="1" thickBot="1" thickTop="1">
      <c r="O45" s="110" t="n"/>
      <c r="P45" s="110" t="n"/>
      <c r="Q45" s="110" t="n"/>
      <c r="R45" s="110" t="n"/>
      <c r="S45" s="110" t="n"/>
      <c r="T45" s="110" t="n"/>
      <c r="U45" s="110" t="n"/>
      <c r="V45" s="83" t="n">
        <v>0</v>
      </c>
      <c r="W45" s="84" t="inlineStr">
        <is>
          <t>LRT E_W</t>
        </is>
      </c>
      <c r="X45" s="78" t="n"/>
      <c r="Y45" s="78" t="n"/>
      <c r="Z45" s="78" t="n"/>
      <c r="AA45" s="78" t="n"/>
      <c r="AB45" s="110" t="n"/>
    </row>
    <row r="46" ht="15" customHeight="1" thickBot="1" thickTop="1">
      <c r="V46" s="92" t="n">
        <v>1</v>
      </c>
      <c r="W46" s="93" t="inlineStr">
        <is>
          <t>inflation</t>
        </is>
      </c>
      <c r="X46" s="78" t="n"/>
      <c r="Y46" s="78" t="n"/>
      <c r="Z46" s="78" t="n"/>
      <c r="AA46" s="78" t="n"/>
    </row>
  </sheetData>
  <mergeCells count="15">
    <mergeCell ref="V35:W35"/>
    <mergeCell ref="K29:Q30"/>
    <mergeCell ref="Z35:AA35"/>
    <mergeCell ref="A20:B20"/>
    <mergeCell ref="A21:B21"/>
    <mergeCell ref="S29:Y30"/>
    <mergeCell ref="C29:I30"/>
    <mergeCell ref="V2:Y2"/>
    <mergeCell ref="H35:L38"/>
    <mergeCell ref="G2:J2"/>
    <mergeCell ref="O2:R2"/>
    <mergeCell ref="K2:N2"/>
    <mergeCell ref="AA29:AG30"/>
    <mergeCell ref="C2:F2"/>
    <mergeCell ref="R35:S35"/>
  </mergeCells>
  <conditionalFormatting sqref="C8:Q9">
    <cfRule type="cellIs" priority="3" operator="greaterThan" dxfId="0">
      <formula>0</formula>
    </cfRule>
  </conditionalFormatting>
  <conditionalFormatting sqref="H35:L38">
    <cfRule type="containsText" priority="13" operator="containsText" dxfId="0" text="תקין">
      <formula>NOT(ISERROR(SEARCH("תקין",H35)))</formula>
    </cfRule>
  </conditionalFormatting>
  <conditionalFormatting sqref="J7 J10:J31">
    <cfRule type="cellIs" priority="9" operator="greaterThan" dxfId="0">
      <formula>0</formula>
    </cfRule>
  </conditionalFormatting>
  <conditionalFormatting sqref="S8:Y9">
    <cfRule type="cellIs" priority="2" operator="greaterThan" dxfId="0">
      <formula>0</formula>
    </cfRule>
  </conditionalFormatting>
  <conditionalFormatting sqref="Z40:Z41">
    <cfRule type="cellIs" priority="8" operator="greaterThan" dxfId="1">
      <formula>1</formula>
    </cfRule>
  </conditionalFormatting>
  <conditionalFormatting sqref="AA8:AG9">
    <cfRule type="cellIs" priority="1" operator="greaterThan" dxfId="0">
      <formula>0</formula>
    </cfRule>
  </conditionalFormatting>
  <dataValidations xWindow="152" yWindow="334" count="26">
    <dataValidation sqref="AA36" showDropDown="0" showInputMessage="1" showErrorMessage="1" allowBlank="0" promptTitle="rakal_calc" prompt="אפשרות בינארית (0,1)._x000a_בחר 1 אם ברצונך לבצע חישוב עפ&quot;י הנחיות לבדיקה מקדימה לרק&quot;ל."/>
    <dataValidation sqref="AA37" showDropDown="0" showInputMessage="1" showErrorMessage="1" allowBlank="0" promptTitle="cycle_time" prompt="במידה והינך מבצע חישוב קיבולת עפ&quot;י הנחיות לרק&quot;ל, ניתן לעדכן דרך תא זה את זמן המחזור בשניות._x000a_זמן ברירת מחדל הוא 120 "/>
    <dataValidation sqref="AA38" showDropDown="0" showInputMessage="1" showErrorMessage="1" allowBlank="0" promptTitle="train_lost_time" prompt="זמן אבוד כתוצאה ממעבר הרק&quot;ל בשניות._x000a_עפ&quot;י הנחיות 20 שניות פינוי+5 שניות נסיעה=25."/>
    <dataValidation sqref="W36" showDropDown="0" showInputMessage="1" showErrorMessage="1" allowBlank="0" promptTitle="capacity" prompt="קיבולת מקסימלית לנתיב. _x000a_ברירת מחדל היא 1800._x000a_כאשר נבחר בערך זה:_x000a_קיבולת ל-2 תמונות: 1500_x000a_קיבולת ל-3 תמונות: 1450_x000a_קיבולת ל-4 תמונות: 1400"/>
    <dataValidation sqref="AA39" showDropDown="0" showInputMessage="1" showErrorMessage="1" allowBlank="0" promptTitle="train headway" prompt="זמן בדקות בין רכבות המגיעות מאותו כיוון."/>
    <dataValidation sqref="W37" showDropDown="0" showInputMessage="1" showErrorMessage="1" allowBlank="0" promptTitle="nlslallowed" prompt="אפשרות בינארית._x000a_נבחר בערך 1 כאשר נרצה לאפשר פנייה שמאלה במקביל מזרועות צפון ודרום."/>
    <dataValidation sqref="W38" showDropDown="0" showInputMessage="1" showErrorMessage="1" allowBlank="0" promptTitle="elwlallowed" prompt="אפשרות בינארית._x000a_נבחר בערך 1 כאשר נרצה לאפשר פנייה שמאלה במקביל מזרועות מזרח ומערב."/>
    <dataValidation sqref="W39" showDropDown="0" showInputMessage="1" showErrorMessage="1" allowBlank="0" promptTitle="5TH IMAGE" prompt="אפשרות זו אינה פעילה בגרסה נוכחית._x000a_ניתן לאפשר עד 4 תמונות במחזור."/>
    <dataValidation sqref="W40" showDropDown="0" showInputMessage="1" showErrorMessage="1" allowBlank="0" promptTitle="6TH IMAGE" prompt="אפשרות זו אינה פעילה בגרסה נוכחית._x000a_ניתן לאפשר עד 4 תמונות במחזור."/>
    <dataValidation sqref="W41" showDropDown="0" showInputMessage="1" showErrorMessage="1" allowBlank="0" promptTitle="geometry N_S" prompt="אפשרות זו פעילה רק במצב looping למציאת ניתוב אופטימלי._x000a_הזן ערך על מנת לקבוע את המגבלה על סכום נתיבי הכניסה מזרועות צפון ודרום._x000a_מומלץ להימנע מהזנת סכומים גבוהים מחשש לזמן חישוב ארוך"/>
    <dataValidation sqref="W42" showDropDown="0" showInputMessage="1" showErrorMessage="1" allowBlank="0" promptTitle="geometry E_W" prompt="אפשרות זו פעילה רק במצב looping למציאת ניתוב אופטימלי._x000a_הזן ערך על מנת לקבוע את המגבלה על סכום נתיבי הכניסה מזרועות מזרח ומערב._x000a_מומלץ להימנע מהזנת סכומים גבוהים מחשש לזמן חישוב ארוך"/>
    <dataValidation sqref="W43" showDropDown="0" showInputMessage="1" showErrorMessage="1" allowBlank="0" promptTitle="looping" prompt="שינוי מוד ההפעלה, ממציאת רמת שירות אופטימלית למציאת ניתוב אופטימלי._x000a_הפעלת מצב זה תחזיר ישירות לקובץ האקסל את הניתוב האופטימלי ואת רמת השירות האופטימלית._x000a_כל שאר התאים לא ישונו, ואין לדלות מהם מידע לגבי החישוב."/>
    <dataValidation sqref="W44" showDropDown="0" showInputMessage="1" showErrorMessage="1" allowBlank="0" promptTitle="LRT N_S" prompt="אפשרות בינארית._x000a_נבחר באפשרות זו על מנת לדרוש כי תמונה A תאפשר תנועת העדפה לרכב הנוסע ישר מצפון לדרום._x000a_בחירה באפשרות זו, אין  משמעותה חישוב קיבולת עדכני לרק&quot;ל, לשם כך יש לבחור באפשרות rakal_calc"/>
    <dataValidation sqref="W45" showDropDown="0" showInputMessage="1" showErrorMessage="1" allowBlank="0" promptTitle="LRT E_W" prompt="אפשרות בינארית._x000a_נבחר באפשרות זו על מנת לדרוש כי תמונה A תאפשר תנועת העדפה לרכב הנוסע ישר ממזרח למערב._x000a_בחירה באפשרות זו, אין  משמעותה חישוב קיבולת עדכני לרק&quot;ל, לשם כך יש לבחור באפשרות rakal_calc"/>
    <dataValidation sqref="Z36" showDropDown="0" showInputMessage="1" showErrorMessage="1" allowBlank="0" errorTitle="rakal_calc erroe" error="אפשרות בינארית-יש לבחור 0 או1" type="whole">
      <formula1>0</formula1>
      <formula2>1</formula2>
    </dataValidation>
    <dataValidation sqref="V37" showDropDown="0" showInputMessage="1" showErrorMessage="1" allowBlank="0" errorTitle="nlslallowed error" error="אפשרות בינארית. יש לבחור ערך 0 או 1." type="whole">
      <formula1>0</formula1>
      <formula2>1</formula2>
    </dataValidation>
    <dataValidation sqref="V38" showDropDown="0" showInputMessage="1" showErrorMessage="1" allowBlank="0" errorTitle="elwlallowed error" error="אפשרות בינארית. יש לבחור ערך 0 או 1." type="whole">
      <formula1>0</formula1>
      <formula2>1</formula2>
    </dataValidation>
    <dataValidation sqref="V43" showDropDown="0" showInputMessage="1" showErrorMessage="1" allowBlank="0" errorTitle="looping error" error="אפשרות בינארית. יש לבחור ערך 0 או 1." type="whole">
      <formula1>0</formula1>
      <formula2>1</formula2>
    </dataValidation>
    <dataValidation sqref="V44" showDropDown="0" showInputMessage="1" showErrorMessage="1" allowBlank="0" errorTitle="LRT N_S ERROR" error="אפשרות בינארית. יש לבחור ערך 0 או 1." type="decimal">
      <formula1>0</formula1>
      <formula2>1</formula2>
    </dataValidation>
    <dataValidation sqref="V45" showDropDown="0" showInputMessage="1" showErrorMessage="1" allowBlank="0" errorTitle="LRT E_W ERROR" error="אפשרות בינארית. יש לבחור ערך 0 או 1." type="whole">
      <formula1>0</formula1>
      <formula2>1</formula2>
    </dataValidation>
    <dataValidation sqref="AA40" showDropDown="0" showInputMessage="1" showErrorMessage="1" allowBlank="0" promptTitle="מקדם ית&quot;ן" prompt="מקדם ית&quot;ן משמש בחישובי רמת שירות לרק&quot;ל, כאשר רוצים לתת משקל עודף לפניות ימינה ושמאלה._x000a_על פי הנוהל נשתמש במקדם ית&quot;ן 1.125. במידה ונרצה לוותר עליו נבחר בערך 1."/>
    <dataValidation sqref="Z40" showDropDown="0" showInputMessage="1" showErrorMessage="1" allowBlank="0" type="list">
      <formula1>"1,1.125"</formula1>
    </dataValidation>
    <dataValidation sqref="B4:B5" showDropDown="0" showInputMessage="1" showErrorMessage="1" allowBlank="0" prompt="ספירה מתייחסת לנפח רכב פרטי בלבד._x000a_נפח תח&quot;צ בנת&quot;צים מתווסף באופן אוטומטי לפי ערך ברירת מחדל- 50."/>
    <dataValidation sqref="B8" showDropDown="0" showInputMessage="1" showErrorMessage="1" allowBlank="0" prompt="יש לסמן את מספר הנתיבים הרגילים מאותו סוג._x000a_במידה וקיים נתיב מורכב שחלקו נת&quot;צ (למשל ישר ימינה, שתנועה ימינה לנת&quot;צ בלבד) נסמן את קיומו כנתיב מורכב רגיל (למשל: ישר ימינה=1)"/>
    <dataValidation sqref="B9" showDropDown="0" showInputMessage="1" showErrorMessage="1" allowBlank="0" prompt="יש לסמן את מספר הנתיבים היעודיים לתחבורה ציבורית מאותו סוג._x000a_במידה וקיים נתיב מורכב שחלקו נת&quot;צ (למשל ישר ימינה, שתנועה ימינה לנת&quot;צ בלבד) נסמן בעמודת ישר ימינה קוד המתייחס לתנועה שמתקיימת כנת&quot;צ._x000a_ימינה=2_x000a_ישר=3_x000a_שמאלה=4_x000a_ישר+ימינה=5_x000a_ימינה+שמאלה=6_x000a_ישר+שמאלה=7"/>
    <dataValidation sqref="W46" showDropDown="0" showInputMessage="1" showErrorMessage="1" allowBlank="0" promptTitle="מקדם ניפוח" prompt="ערך ברירת מחדל- 1._x000a_ניתן להכניס ערך אחר על מנת לבצע ניפוח של הספירות._x000a_ערך ניפוח הוא בדרך כלל מקדם בחזקה. נדרש להכניס כקלט ערך סופי בלבד- למשל 1.1 לניפוח של 10 אחוזים."/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N35:P37"/>
  <sheetViews>
    <sheetView rightToLeft="1" workbookViewId="0">
      <selection activeCell="I36" sqref="I36"/>
    </sheetView>
  </sheetViews>
  <sheetFormatPr baseColWidth="8" defaultRowHeight="15"/>
  <sheetData>
    <row r="34" ht="15" customHeight="1" thickBot="1"/>
    <row r="35">
      <c r="N35" s="150" t="inlineStr">
        <is>
          <t>ערכי קיבולת לצומת לפי מספר פאזות</t>
        </is>
      </c>
      <c r="O35" s="151" t="n"/>
      <c r="P35" s="152" t="n"/>
    </row>
    <row r="36">
      <c r="N36" s="2" t="n">
        <v>4</v>
      </c>
      <c r="O36" s="1" t="n">
        <v>3</v>
      </c>
      <c r="P36" s="3" t="n">
        <v>2</v>
      </c>
    </row>
    <row r="37" ht="15" customHeight="1" thickBot="1">
      <c r="N37" s="4" t="n">
        <v>1400</v>
      </c>
      <c r="O37" s="5" t="n">
        <v>1450</v>
      </c>
      <c r="P37" s="6" t="n">
        <v>1500</v>
      </c>
    </row>
  </sheetData>
  <mergeCells count="1">
    <mergeCell ref="N35:P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0D1B2A"/>
    <outlinePr summaryBelow="1" summaryRight="1"/>
    <pageSetUpPr/>
  </sheetPr>
  <dimension ref="A1:F3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30" customHeight="1">
      <c r="A1" s="165" t="inlineStr">
        <is>
          <t xml:space="preserve">  HCM 7th Edition — Signal Analysis  |  Input Sheet</t>
        </is>
      </c>
    </row>
    <row r="2" ht="14" customHeight="1">
      <c r="A2" s="166" t="inlineStr">
        <is>
          <t xml:space="preserve">  Yellow cells = new inputs to fill in.  Blue cells = automatically linked from the main volume calculator sheet.</t>
        </is>
      </c>
    </row>
    <row r="3" ht="6" customHeight="1"/>
    <row r="4" ht="17" customHeight="1">
      <c r="A4" s="167" t="inlineStr">
        <is>
          <t xml:space="preserve">  NEW INPUT — EFFECTIVE GREEN TIMES  (seconds per approach)</t>
        </is>
      </c>
    </row>
    <row r="5" ht="18" customHeight="1">
      <c r="A5" t="inlineStr"/>
      <c r="B5" s="168" t="inlineStr">
        <is>
          <t>North</t>
        </is>
      </c>
      <c r="C5" s="168" t="inlineStr">
        <is>
          <t>South</t>
        </is>
      </c>
      <c r="D5" s="168" t="inlineStr">
        <is>
          <t>East</t>
        </is>
      </c>
      <c r="E5" s="168" t="inlineStr">
        <is>
          <t>West</t>
        </is>
      </c>
      <c r="F5" s="169" t="inlineStr">
        <is>
          <t>← seconds of effective green per approach</t>
        </is>
      </c>
    </row>
    <row r="6" ht="16" customHeight="1">
      <c r="A6" s="170" t="inlineStr">
        <is>
          <t>AM  effective green  (s)</t>
        </is>
      </c>
      <c r="B6" s="171" t="n">
        <v>40</v>
      </c>
      <c r="C6" s="171" t="n">
        <v>40</v>
      </c>
      <c r="D6" s="171" t="n">
        <v>40</v>
      </c>
      <c r="E6" s="171" t="n">
        <v>40</v>
      </c>
      <c r="F6" s="169" t="inlineStr">
        <is>
          <t>Effective green = displayed green + yellow − start lost time</t>
        </is>
      </c>
    </row>
    <row r="7" ht="16" customHeight="1">
      <c r="A7" s="170" t="inlineStr">
        <is>
          <t>PM  effective green  (s)</t>
        </is>
      </c>
      <c r="B7" s="171" t="n">
        <v>40</v>
      </c>
      <c r="C7" s="171" t="n">
        <v>40</v>
      </c>
      <c r="D7" s="171" t="n">
        <v>40</v>
      </c>
      <c r="E7" s="171" t="n">
        <v>40</v>
      </c>
    </row>
    <row r="8" ht="6" customHeight="1"/>
    <row r="9" ht="17" customHeight="1">
      <c r="A9" s="167" t="inlineStr">
        <is>
          <t xml:space="preserve">  NEW INPUT — SIGNAL PARAMETERS</t>
        </is>
      </c>
    </row>
    <row r="10" ht="16" customHeight="1">
      <c r="A10" s="170" t="inlineStr">
        <is>
          <t>Analysis period  T</t>
        </is>
      </c>
      <c r="B10" s="171" t="n">
        <v>0.25</v>
      </c>
      <c r="C10" s="172" t="inlineStr">
        <is>
          <t>hr</t>
        </is>
      </c>
      <c r="D10" s="173" t="inlineStr">
        <is>
          <t>0.25 hr = 15-min peak period</t>
        </is>
      </c>
    </row>
    <row r="11" ht="16" customHeight="1">
      <c r="A11" s="170" t="inlineStr">
        <is>
          <t>Incremental delay factor  k</t>
        </is>
      </c>
      <c r="B11" s="171" t="n">
        <v>0.5</v>
      </c>
      <c r="C11" s="172" t="inlineStr">
        <is>
          <t>—</t>
        </is>
      </c>
      <c r="D11" s="173" t="inlineStr">
        <is>
          <t>0.50 = pre-timed  /  0.25 = actuated</t>
        </is>
      </c>
    </row>
    <row r="12" ht="16" customHeight="1">
      <c r="A12" s="170" t="inlineStr">
        <is>
          <t>Progression factor  PF</t>
        </is>
      </c>
      <c r="B12" s="171" t="n">
        <v>1</v>
      </c>
      <c r="C12" s="172" t="inlineStr">
        <is>
          <t>—</t>
        </is>
      </c>
      <c r="D12" s="173" t="inlineStr">
        <is>
          <t>1.0 = random arrivals  (HCM Table 19-9)</t>
        </is>
      </c>
    </row>
    <row r="13" ht="16" customHeight="1">
      <c r="A13" s="170" t="inlineStr">
        <is>
          <t>Upstream filter factor  I</t>
        </is>
      </c>
      <c r="B13" s="171" t="n">
        <v>1</v>
      </c>
      <c r="C13" s="172" t="inlineStr">
        <is>
          <t>—</t>
        </is>
      </c>
      <c r="D13" s="173" t="inlineStr">
        <is>
          <t>1.0 = isolated intersection</t>
        </is>
      </c>
    </row>
    <row r="14" ht="16" customHeight="1">
      <c r="A14" s="170" t="inlineStr">
        <is>
          <t>Car length  l</t>
        </is>
      </c>
      <c r="B14" s="171" t="n">
        <v>7</v>
      </c>
      <c r="C14" s="172" t="inlineStr">
        <is>
          <t>m</t>
        </is>
      </c>
      <c r="D14" s="173" t="inlineStr">
        <is>
          <t>Used for Q95 in metres</t>
        </is>
      </c>
    </row>
    <row r="15" ht="6" customHeight="1"/>
    <row r="16" ht="17" customHeight="1">
      <c r="A16" s="174" t="inlineStr">
        <is>
          <t xml:space="preserve">  AUTO-LINKED FROM MAIN SHEET  (do not edit — read-only)</t>
        </is>
      </c>
    </row>
    <row r="17" ht="18" customHeight="1">
      <c r="A17" t="inlineStr"/>
      <c r="B17" s="168" t="inlineStr">
        <is>
          <t>North</t>
        </is>
      </c>
      <c r="C17" s="168" t="inlineStr">
        <is>
          <t>South</t>
        </is>
      </c>
      <c r="D17" s="168" t="inlineStr">
        <is>
          <t>East</t>
        </is>
      </c>
      <c r="E17" s="168" t="inlineStr">
        <is>
          <t>West</t>
        </is>
      </c>
    </row>
    <row r="18" ht="16" customHeight="1">
      <c r="A18" s="170" t="inlineStr">
        <is>
          <t>AM total volume  (veh/h)</t>
        </is>
      </c>
      <c r="B18" s="175">
        <f>'מחשבון נפח קובע'!D4+'מחשבון נפח קובע'!E4+'מחשבון נפח קובע'!F4</f>
        <v/>
      </c>
      <c r="C18" s="175">
        <f>'מחשבון נפח קובע'!H4+'מחשבון נפח קובע'!I4+'מחשבון נפח קובע'!J4</f>
        <v/>
      </c>
      <c r="D18" s="175">
        <f>'מחשבון נפח קובע'!L4+'מחשבון נפח קובע'!M4+'מחשבון נפח קובע'!N4</f>
        <v/>
      </c>
      <c r="E18" s="175">
        <f>'מחשבון נפח קובע'!P4+'מחשבון נפח קובע'!Q4+'מחשבון נפח קובע'!R4</f>
        <v/>
      </c>
    </row>
    <row r="19" ht="16" customHeight="1">
      <c r="A19" s="170" t="inlineStr">
        <is>
          <t>PM total volume  (veh/h)</t>
        </is>
      </c>
      <c r="B19" s="175">
        <f>'מחשבון נפח קובע'!D5+'מחשבון נפח קובע'!E5+'מחשבון נפח קובע'!F5</f>
        <v/>
      </c>
      <c r="C19" s="175">
        <f>'מחשבון נפח קובע'!H5+'מחשבון נפח קובע'!I5+'מחשבון נפח קובע'!J5</f>
        <v/>
      </c>
      <c r="D19" s="175">
        <f>'מחשבון נפח קובע'!L5+'מחשבון נפח קובע'!M5+'מחשבון נפח קובע'!N5</f>
        <v/>
      </c>
      <c r="E19" s="175">
        <f>'מחשבון נפח קובע'!P5+'מחשבון נפח קובע'!Q5+'מחשבון נפח קובע'!R5</f>
        <v/>
      </c>
    </row>
    <row r="20" ht="16" customHeight="1">
      <c r="A20" s="170" t="inlineStr">
        <is>
          <t>Total lanes</t>
        </is>
      </c>
      <c r="B20" s="175">
        <f>SUM('מחשבון נפח קובע'!C8:I8)</f>
        <v/>
      </c>
      <c r="C20" s="175">
        <f>SUM('מחשבון נפח קובע'!K8:Q8)</f>
        <v/>
      </c>
      <c r="D20" s="175">
        <f>SUM('מחשבון נפח קובע'!S8:Y8)</f>
        <v/>
      </c>
      <c r="E20" s="175">
        <f>SUM('מחשבון נפח קובע'!AA8:AG8)</f>
        <v/>
      </c>
    </row>
    <row r="21" ht="16" customHeight="1">
      <c r="A21" s="170" t="inlineStr">
        <is>
          <t>Saturation flow  s</t>
        </is>
      </c>
      <c r="B21" s="175">
        <f>'מחשבון נפח קובע'!V36</f>
        <v/>
      </c>
      <c r="C21" s="172" t="inlineStr">
        <is>
          <t>veh/h/lane</t>
        </is>
      </c>
      <c r="D21" s="169" t="inlineStr">
        <is>
          <t>Linked from main sheet cell V36</t>
        </is>
      </c>
    </row>
    <row r="22" ht="16" customHeight="1">
      <c r="A22" s="170" t="inlineStr">
        <is>
          <t>Cycle time  C</t>
        </is>
      </c>
      <c r="B22" s="175">
        <f>'מחשבון נפח קובע'!Z37</f>
        <v/>
      </c>
      <c r="C22" s="172" t="inlineStr">
        <is>
          <t>s</t>
        </is>
      </c>
      <c r="D22" s="169" t="inlineStr">
        <is>
          <t>Linked from main sheet cell Z37</t>
        </is>
      </c>
    </row>
    <row r="24" ht="8" customHeight="1"/>
    <row r="25" ht="17" customHeight="1">
      <c r="A25" s="167" t="inlineStr">
        <is>
          <t xml:space="preserve">  LOS THRESHOLDS  (HCM 7th Ed. — Signalized Intersections)</t>
        </is>
      </c>
    </row>
    <row r="26" ht="14" customHeight="1">
      <c r="A26" s="176" t="inlineStr">
        <is>
          <t>A</t>
        </is>
      </c>
      <c r="B26" s="177" t="inlineStr">
        <is>
          <t>≤ 10 s/veh</t>
        </is>
      </c>
      <c r="C26" s="178" t="inlineStr">
        <is>
          <t>Very low delay — excellent progression</t>
        </is>
      </c>
    </row>
    <row r="27" ht="14" customHeight="1">
      <c r="A27" s="179" t="inlineStr">
        <is>
          <t>B</t>
        </is>
      </c>
      <c r="B27" s="180" t="inlineStr">
        <is>
          <t>10–20 s/veh</t>
        </is>
      </c>
      <c r="C27" s="181" t="inlineStr">
        <is>
          <t>Good progression or short cycle</t>
        </is>
      </c>
    </row>
    <row r="28" ht="14" customHeight="1">
      <c r="A28" s="182" t="inlineStr">
        <is>
          <t>C</t>
        </is>
      </c>
      <c r="B28" s="183" t="inlineStr">
        <is>
          <t>20–35 s/veh</t>
        </is>
      </c>
      <c r="C28" s="184" t="inlineStr">
        <is>
          <t>Fair progression — higher delays</t>
        </is>
      </c>
    </row>
    <row r="29" ht="14" customHeight="1">
      <c r="A29" s="185" t="inlineStr">
        <is>
          <t>D</t>
        </is>
      </c>
      <c r="B29" s="186" t="inlineStr">
        <is>
          <t>35–55 s/veh</t>
        </is>
      </c>
      <c r="C29" s="187" t="inlineStr">
        <is>
          <t>Congestion influence noticeable</t>
        </is>
      </c>
    </row>
    <row r="30" ht="14" customHeight="1">
      <c r="A30" s="188" t="inlineStr">
        <is>
          <t>E</t>
        </is>
      </c>
      <c r="B30" s="189" t="inlineStr">
        <is>
          <t>55–80 s/veh</t>
        </is>
      </c>
      <c r="C30" s="190" t="inlineStr">
        <is>
          <t>High delay — poor progression or long cycle</t>
        </is>
      </c>
    </row>
    <row r="31" ht="14" customHeight="1">
      <c r="A31" s="191" t="inlineStr">
        <is>
          <t>F</t>
        </is>
      </c>
      <c r="B31" s="192" t="inlineStr">
        <is>
          <t>&gt; 80 s/veh</t>
        </is>
      </c>
      <c r="C31" s="193" t="inlineStr">
        <is>
          <t>Unacceptable delay — over-capacity</t>
        </is>
      </c>
    </row>
  </sheetData>
  <mergeCells count="19">
    <mergeCell ref="A16:F16"/>
    <mergeCell ref="D11:F11"/>
    <mergeCell ref="D13:F13"/>
    <mergeCell ref="C28:F28"/>
    <mergeCell ref="D21:F21"/>
    <mergeCell ref="A2:F2"/>
    <mergeCell ref="D12:F12"/>
    <mergeCell ref="C30:F30"/>
    <mergeCell ref="A4:F4"/>
    <mergeCell ref="D14:F14"/>
    <mergeCell ref="C26:F26"/>
    <mergeCell ref="A9:F9"/>
    <mergeCell ref="C29:F29"/>
    <mergeCell ref="D10:F10"/>
    <mergeCell ref="C31:F31"/>
    <mergeCell ref="A1:F1"/>
    <mergeCell ref="D22:F22"/>
    <mergeCell ref="C27:F27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/>
  </sheetPr>
  <dimension ref="A1:L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14" customWidth="1" min="4" max="4"/>
    <col width="9" customWidth="1" min="5" max="5"/>
    <col width="9" customWidth="1" min="6" max="6"/>
    <col width="13" customWidth="1" min="7" max="7"/>
    <col width="9" customWidth="1" min="8" max="8"/>
    <col width="10" customWidth="1" min="9" max="9"/>
    <col width="10" customWidth="1" min="10" max="10"/>
    <col width="13" customWidth="1" min="11" max="11"/>
    <col width="7" customWidth="1" min="12" max="12"/>
  </cols>
  <sheetData>
    <row r="1" ht="30" customHeight="1">
      <c r="A1" s="165" t="inlineStr">
        <is>
          <t xml:space="preserve">  HCM 7th Edition — Signal Delay &amp; Level of Service</t>
        </is>
      </c>
    </row>
    <row r="2" ht="14" customHeight="1">
      <c r="A2" s="166" t="inlineStr">
        <is>
          <t xml:space="preserve">  d = d₁·PF + d₂     d₁ = 0.5·C·(1−u)²/(1−min(1,X)·u)     d₂ = 900T·[(X−1)+√((X−1)²+8kIX/(c·T))]     Edit green times and parameters in HCM Input sheet.</t>
        </is>
      </c>
    </row>
    <row r="3" ht="6" customHeight="1"/>
    <row r="4" ht="34" customHeight="1">
      <c r="A4" s="194" t="inlineStr">
        <is>
          <t>Direction</t>
        </is>
      </c>
      <c r="B4" s="194" t="inlineStr">
        <is>
          <t>Period</t>
        </is>
      </c>
      <c r="C4" s="194" t="inlineStr">
        <is>
          <t>Green g
(s)</t>
        </is>
      </c>
      <c r="D4" s="194" t="inlineStr">
        <is>
          <t>Volume v
(veh/h)</t>
        </is>
      </c>
      <c r="E4" s="194" t="inlineStr">
        <is>
          <t>Lanes n</t>
        </is>
      </c>
      <c r="F4" s="194" t="inlineStr">
        <is>
          <t>u = g/C</t>
        </is>
      </c>
      <c r="G4" s="194" t="inlineStr">
        <is>
          <t>Capacity c
(veh/h)</t>
        </is>
      </c>
      <c r="H4" s="194" t="inlineStr">
        <is>
          <t>X = v/c</t>
        </is>
      </c>
      <c r="I4" s="194" t="inlineStr">
        <is>
          <t>d₁
(s/veh)</t>
        </is>
      </c>
      <c r="J4" s="194" t="inlineStr">
        <is>
          <t>d₂
(s/veh)</t>
        </is>
      </c>
      <c r="K4" s="194" t="inlineStr">
        <is>
          <t>Delay
(s/veh)</t>
        </is>
      </c>
      <c r="L4" s="194" t="inlineStr">
        <is>
          <t>LOS</t>
        </is>
      </c>
    </row>
    <row r="5" ht="18" customHeight="1">
      <c r="A5" s="195" t="inlineStr">
        <is>
          <t>North</t>
        </is>
      </c>
      <c r="B5" s="196" t="inlineStr">
        <is>
          <t>AM</t>
        </is>
      </c>
      <c r="C5" s="197">
        <f>'HCM Input'!$B$6</f>
        <v/>
      </c>
      <c r="D5" s="197">
        <f>'HCM Input'!$B$18</f>
        <v/>
      </c>
      <c r="E5" s="197">
        <f>'HCM Input'!$B$20</f>
        <v/>
      </c>
      <c r="F5" s="198">
        <f>IF('HCM Input'!$B$22=0,0,C5/'HCM Input'!$B$22)</f>
        <v/>
      </c>
      <c r="G5" s="199">
        <f>'HCM Input'!$B$21*E5*F5</f>
        <v/>
      </c>
      <c r="H5" s="198">
        <f>IF(G5=0,0,D5/G5)</f>
        <v/>
      </c>
      <c r="I5" s="200">
        <f>IF(OR(G5=0,D5=0),0,0.5*'HCM Input'!$B$22*(1-F5)^2/MAX(0.001,1-MIN(1,H5)*F5))</f>
        <v/>
      </c>
      <c r="J5" s="200">
        <f>IF(OR(G5=0,D5=0),0,900*'HCM Input'!$B$10*((H5-1)+SQRT(MAX(0,(H5-1)^2+8*'HCM Input'!$B$11*'HCM Input'!$B$13*H5/(G5*'HCM Input'!$B$10)))))</f>
        <v/>
      </c>
      <c r="K5" s="201">
        <f>I5*'HCM Input'!$B$12+J5</f>
        <v/>
      </c>
      <c r="L5" s="202">
        <f>IF(K5&lt;=10,"A",IF(K5&lt;=20,"B",IF(K5&lt;=35,"C",IF(K5&lt;=55,"D",IF(K5&lt;=80,"E","F")))))</f>
        <v/>
      </c>
    </row>
    <row r="6" ht="18" customHeight="1">
      <c r="A6" s="195" t="inlineStr">
        <is>
          <t>North</t>
        </is>
      </c>
      <c r="B6" s="196" t="inlineStr">
        <is>
          <t>PM</t>
        </is>
      </c>
      <c r="C6" s="197">
        <f>'HCM Input'!$B$7</f>
        <v/>
      </c>
      <c r="D6" s="197">
        <f>'HCM Input'!$B$19</f>
        <v/>
      </c>
      <c r="E6" s="197">
        <f>'HCM Input'!$B$20</f>
        <v/>
      </c>
      <c r="F6" s="198">
        <f>IF('HCM Input'!$B$22=0,0,C6/'HCM Input'!$B$22)</f>
        <v/>
      </c>
      <c r="G6" s="199">
        <f>'HCM Input'!$B$21*E6*F6</f>
        <v/>
      </c>
      <c r="H6" s="198">
        <f>IF(G6=0,0,D6/G6)</f>
        <v/>
      </c>
      <c r="I6" s="200">
        <f>IF(OR(G6=0,D6=0),0,0.5*'HCM Input'!$B$22*(1-F6)^2/MAX(0.001,1-MIN(1,H6)*F6))</f>
        <v/>
      </c>
      <c r="J6" s="200">
        <f>IF(OR(G6=0,D6=0),0,900*'HCM Input'!$B$10*((H6-1)+SQRT(MAX(0,(H6-1)^2+8*'HCM Input'!$B$11*'HCM Input'!$B$13*H6/(G6*'HCM Input'!$B$10)))))</f>
        <v/>
      </c>
      <c r="K6" s="201">
        <f>I6*'HCM Input'!$B$12+J6</f>
        <v/>
      </c>
      <c r="L6" s="202">
        <f>IF(K6&lt;=10,"A",IF(K6&lt;=20,"B",IF(K6&lt;=35,"C",IF(K6&lt;=55,"D",IF(K6&lt;=80,"E","F")))))</f>
        <v/>
      </c>
    </row>
    <row r="7" ht="18" customHeight="1">
      <c r="A7" s="203" t="inlineStr">
        <is>
          <t>South</t>
        </is>
      </c>
      <c r="B7" s="204" t="inlineStr">
        <is>
          <t>AM</t>
        </is>
      </c>
      <c r="C7" s="205">
        <f>'HCM Input'!$C$6</f>
        <v/>
      </c>
      <c r="D7" s="205">
        <f>'HCM Input'!$C$18</f>
        <v/>
      </c>
      <c r="E7" s="205">
        <f>'HCM Input'!$C$20</f>
        <v/>
      </c>
      <c r="F7" s="198">
        <f>IF('HCM Input'!$B$22=0,0,C7/'HCM Input'!$B$22)</f>
        <v/>
      </c>
      <c r="G7" s="199">
        <f>'HCM Input'!$B$21*E7*F7</f>
        <v/>
      </c>
      <c r="H7" s="198">
        <f>IF(G7=0,0,D7/G7)</f>
        <v/>
      </c>
      <c r="I7" s="200">
        <f>IF(OR(G7=0,D7=0),0,0.5*'HCM Input'!$B$22*(1-F7)^2/MAX(0.001,1-MIN(1,H7)*F7))</f>
        <v/>
      </c>
      <c r="J7" s="200">
        <f>IF(OR(G7=0,D7=0),0,900*'HCM Input'!$B$10*((H7-1)+SQRT(MAX(0,(H7-1)^2+8*'HCM Input'!$B$11*'HCM Input'!$B$13*H7/(G7*'HCM Input'!$B$10)))))</f>
        <v/>
      </c>
      <c r="K7" s="201">
        <f>I7*'HCM Input'!$B$12+J7</f>
        <v/>
      </c>
      <c r="L7" s="202">
        <f>IF(K7&lt;=10,"A",IF(K7&lt;=20,"B",IF(K7&lt;=35,"C",IF(K7&lt;=55,"D",IF(K7&lt;=80,"E","F")))))</f>
        <v/>
      </c>
    </row>
    <row r="8" ht="18" customHeight="1">
      <c r="A8" s="203" t="inlineStr">
        <is>
          <t>South</t>
        </is>
      </c>
      <c r="B8" s="204" t="inlineStr">
        <is>
          <t>PM</t>
        </is>
      </c>
      <c r="C8" s="205">
        <f>'HCM Input'!$C$7</f>
        <v/>
      </c>
      <c r="D8" s="205">
        <f>'HCM Input'!$C$19</f>
        <v/>
      </c>
      <c r="E8" s="205">
        <f>'HCM Input'!$C$20</f>
        <v/>
      </c>
      <c r="F8" s="198">
        <f>IF('HCM Input'!$B$22=0,0,C8/'HCM Input'!$B$22)</f>
        <v/>
      </c>
      <c r="G8" s="199">
        <f>'HCM Input'!$B$21*E8*F8</f>
        <v/>
      </c>
      <c r="H8" s="198">
        <f>IF(G8=0,0,D8/G8)</f>
        <v/>
      </c>
      <c r="I8" s="200">
        <f>IF(OR(G8=0,D8=0),0,0.5*'HCM Input'!$B$22*(1-F8)^2/MAX(0.001,1-MIN(1,H8)*F8))</f>
        <v/>
      </c>
      <c r="J8" s="200">
        <f>IF(OR(G8=0,D8=0),0,900*'HCM Input'!$B$10*((H8-1)+SQRT(MAX(0,(H8-1)^2+8*'HCM Input'!$B$11*'HCM Input'!$B$13*H8/(G8*'HCM Input'!$B$10)))))</f>
        <v/>
      </c>
      <c r="K8" s="201">
        <f>I8*'HCM Input'!$B$12+J8</f>
        <v/>
      </c>
      <c r="L8" s="202">
        <f>IF(K8&lt;=10,"A",IF(K8&lt;=20,"B",IF(K8&lt;=35,"C",IF(K8&lt;=55,"D",IF(K8&lt;=80,"E","F")))))</f>
        <v/>
      </c>
    </row>
    <row r="9" ht="18" customHeight="1">
      <c r="A9" s="206" t="inlineStr">
        <is>
          <t>East</t>
        </is>
      </c>
      <c r="B9" s="207" t="inlineStr">
        <is>
          <t>AM</t>
        </is>
      </c>
      <c r="C9" s="208">
        <f>'HCM Input'!$D$6</f>
        <v/>
      </c>
      <c r="D9" s="208">
        <f>'HCM Input'!$D$18</f>
        <v/>
      </c>
      <c r="E9" s="208">
        <f>'HCM Input'!$D$20</f>
        <v/>
      </c>
      <c r="F9" s="198">
        <f>IF('HCM Input'!$B$22=0,0,C9/'HCM Input'!$B$22)</f>
        <v/>
      </c>
      <c r="G9" s="199">
        <f>'HCM Input'!$B$21*E9*F9</f>
        <v/>
      </c>
      <c r="H9" s="198">
        <f>IF(G9=0,0,D9/G9)</f>
        <v/>
      </c>
      <c r="I9" s="200">
        <f>IF(OR(G9=0,D9=0),0,0.5*'HCM Input'!$B$22*(1-F9)^2/MAX(0.001,1-MIN(1,H9)*F9))</f>
        <v/>
      </c>
      <c r="J9" s="200">
        <f>IF(OR(G9=0,D9=0),0,900*'HCM Input'!$B$10*((H9-1)+SQRT(MAX(0,(H9-1)^2+8*'HCM Input'!$B$11*'HCM Input'!$B$13*H9/(G9*'HCM Input'!$B$10)))))</f>
        <v/>
      </c>
      <c r="K9" s="201">
        <f>I9*'HCM Input'!$B$12+J9</f>
        <v/>
      </c>
      <c r="L9" s="202">
        <f>IF(K9&lt;=10,"A",IF(K9&lt;=20,"B",IF(K9&lt;=35,"C",IF(K9&lt;=55,"D",IF(K9&lt;=80,"E","F")))))</f>
        <v/>
      </c>
    </row>
    <row r="10" ht="18" customHeight="1">
      <c r="A10" s="206" t="inlineStr">
        <is>
          <t>East</t>
        </is>
      </c>
      <c r="B10" s="207" t="inlineStr">
        <is>
          <t>PM</t>
        </is>
      </c>
      <c r="C10" s="208">
        <f>'HCM Input'!$D$7</f>
        <v/>
      </c>
      <c r="D10" s="208">
        <f>'HCM Input'!$D$19</f>
        <v/>
      </c>
      <c r="E10" s="208">
        <f>'HCM Input'!$D$20</f>
        <v/>
      </c>
      <c r="F10" s="198">
        <f>IF('HCM Input'!$B$22=0,0,C10/'HCM Input'!$B$22)</f>
        <v/>
      </c>
      <c r="G10" s="199">
        <f>'HCM Input'!$B$21*E10*F10</f>
        <v/>
      </c>
      <c r="H10" s="198">
        <f>IF(G10=0,0,D10/G10)</f>
        <v/>
      </c>
      <c r="I10" s="200">
        <f>IF(OR(G10=0,D10=0),0,0.5*'HCM Input'!$B$22*(1-F10)^2/MAX(0.001,1-MIN(1,H10)*F10))</f>
        <v/>
      </c>
      <c r="J10" s="200">
        <f>IF(OR(G10=0,D10=0),0,900*'HCM Input'!$B$10*((H10-1)+SQRT(MAX(0,(H10-1)^2+8*'HCM Input'!$B$11*'HCM Input'!$B$13*H10/(G10*'HCM Input'!$B$10)))))</f>
        <v/>
      </c>
      <c r="K10" s="201">
        <f>I10*'HCM Input'!$B$12+J10</f>
        <v/>
      </c>
      <c r="L10" s="202">
        <f>IF(K10&lt;=10,"A",IF(K10&lt;=20,"B",IF(K10&lt;=35,"C",IF(K10&lt;=55,"D",IF(K10&lt;=80,"E","F")))))</f>
        <v/>
      </c>
    </row>
    <row r="11" ht="18" customHeight="1">
      <c r="A11" s="209" t="inlineStr">
        <is>
          <t>West</t>
        </is>
      </c>
      <c r="B11" s="210" t="inlineStr">
        <is>
          <t>AM</t>
        </is>
      </c>
      <c r="C11" s="211">
        <f>'HCM Input'!$E$6</f>
        <v/>
      </c>
      <c r="D11" s="211">
        <f>'HCM Input'!$E$18</f>
        <v/>
      </c>
      <c r="E11" s="211">
        <f>'HCM Input'!$E$20</f>
        <v/>
      </c>
      <c r="F11" s="198">
        <f>IF('HCM Input'!$B$22=0,0,C11/'HCM Input'!$B$22)</f>
        <v/>
      </c>
      <c r="G11" s="199">
        <f>'HCM Input'!$B$21*E11*F11</f>
        <v/>
      </c>
      <c r="H11" s="198">
        <f>IF(G11=0,0,D11/G11)</f>
        <v/>
      </c>
      <c r="I11" s="200">
        <f>IF(OR(G11=0,D11=0),0,0.5*'HCM Input'!$B$22*(1-F11)^2/MAX(0.001,1-MIN(1,H11)*F11))</f>
        <v/>
      </c>
      <c r="J11" s="200">
        <f>IF(OR(G11=0,D11=0),0,900*'HCM Input'!$B$10*((H11-1)+SQRT(MAX(0,(H11-1)^2+8*'HCM Input'!$B$11*'HCM Input'!$B$13*H11/(G11*'HCM Input'!$B$10)))))</f>
        <v/>
      </c>
      <c r="K11" s="201">
        <f>I11*'HCM Input'!$B$12+J11</f>
        <v/>
      </c>
      <c r="L11" s="202">
        <f>IF(K11&lt;=10,"A",IF(K11&lt;=20,"B",IF(K11&lt;=35,"C",IF(K11&lt;=55,"D",IF(K11&lt;=80,"E","F")))))</f>
        <v/>
      </c>
    </row>
    <row r="12" ht="18" customHeight="1">
      <c r="A12" s="209" t="inlineStr">
        <is>
          <t>West</t>
        </is>
      </c>
      <c r="B12" s="210" t="inlineStr">
        <is>
          <t>PM</t>
        </is>
      </c>
      <c r="C12" s="211">
        <f>'HCM Input'!$E$7</f>
        <v/>
      </c>
      <c r="D12" s="211">
        <f>'HCM Input'!$E$19</f>
        <v/>
      </c>
      <c r="E12" s="211">
        <f>'HCM Input'!$E$20</f>
        <v/>
      </c>
      <c r="F12" s="198">
        <f>IF('HCM Input'!$B$22=0,0,C12/'HCM Input'!$B$22)</f>
        <v/>
      </c>
      <c r="G12" s="199">
        <f>'HCM Input'!$B$21*E12*F12</f>
        <v/>
      </c>
      <c r="H12" s="198">
        <f>IF(G12=0,0,D12/G12)</f>
        <v/>
      </c>
      <c r="I12" s="200">
        <f>IF(OR(G12=0,D12=0),0,0.5*'HCM Input'!$B$22*(1-F12)^2/MAX(0.001,1-MIN(1,H12)*F12))</f>
        <v/>
      </c>
      <c r="J12" s="200">
        <f>IF(OR(G12=0,D12=0),0,900*'HCM Input'!$B$10*((H12-1)+SQRT(MAX(0,(H12-1)^2+8*'HCM Input'!$B$11*'HCM Input'!$B$13*H12/(G12*'HCM Input'!$B$10)))))</f>
        <v/>
      </c>
      <c r="K12" s="201">
        <f>I12*'HCM Input'!$B$12+J12</f>
        <v/>
      </c>
      <c r="L12" s="202">
        <f>IF(K12&lt;=10,"A",IF(K12&lt;=20,"B",IF(K12&lt;=35,"C",IF(K12&lt;=55,"D",IF(K12&lt;=80,"E","F")))))</f>
        <v/>
      </c>
    </row>
    <row r="14" ht="8" customHeight="1"/>
    <row r="15" ht="16" customHeight="1">
      <c r="A15" s="212" t="inlineStr">
        <is>
          <t>LOS:</t>
        </is>
      </c>
      <c r="B15" s="176" t="inlineStr">
        <is>
          <t>A  ≤ 10 s</t>
        </is>
      </c>
      <c r="C15" s="179" t="inlineStr">
        <is>
          <t>B  10–20 s</t>
        </is>
      </c>
      <c r="D15" s="182" t="inlineStr">
        <is>
          <t>C  20–35 s</t>
        </is>
      </c>
      <c r="E15" s="185" t="inlineStr">
        <is>
          <t>D  35–55 s</t>
        </is>
      </c>
      <c r="F15" s="188" t="inlineStr">
        <is>
          <t>E  55–80 s</t>
        </is>
      </c>
      <c r="G15" s="191" t="inlineStr">
        <is>
          <t>F  &gt; 80 s</t>
        </is>
      </c>
    </row>
  </sheetData>
  <mergeCells count="2">
    <mergeCell ref="A2:L2"/>
    <mergeCell ref="A1:L1"/>
  </mergeCells>
  <conditionalFormatting sqref="L5:L12">
    <cfRule type="cellIs" priority="1" operator="equal" dxfId="6">
      <formula>"A"</formula>
    </cfRule>
    <cfRule type="cellIs" priority="2" operator="equal" dxfId="7">
      <formula>"B"</formula>
    </cfRule>
    <cfRule type="cellIs" priority="3" operator="equal" dxfId="8">
      <formula>"C"</formula>
    </cfRule>
    <cfRule type="cellIs" priority="4" operator="equal" dxfId="9">
      <formula>"D"</formula>
    </cfRule>
    <cfRule type="cellIs" priority="5" operator="equal" dxfId="10">
      <formula>"E"</formula>
    </cfRule>
    <cfRule type="cellIs" priority="6" operator="equal" dxfId="11">
      <formula>"F"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C3E6B"/>
    <outlinePr summaryBelow="1" summaryRight="1"/>
    <pageSetUpPr/>
  </sheetPr>
  <dimension ref="A1:M1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14" customWidth="1" min="4" max="4"/>
    <col width="9" customWidth="1" min="5" max="5"/>
    <col width="9" customWidth="1" min="6" max="6"/>
    <col width="13" customWidth="1" min="7" max="7"/>
    <col width="9" customWidth="1" min="8" max="8"/>
    <col width="11" customWidth="1" min="9" max="9"/>
    <col width="11" customWidth="1" min="10" max="10"/>
    <col width="11" customWidth="1" min="11" max="11"/>
    <col width="10" customWidth="1" min="12" max="12"/>
    <col width="10" customWidth="1" min="13" max="13"/>
  </cols>
  <sheetData>
    <row r="1" ht="30" customHeight="1">
      <c r="A1" s="165" t="inlineStr">
        <is>
          <t xml:space="preserve">  HCM 7th Edition — 95th Percentile Back-of-Queue</t>
        </is>
      </c>
    </row>
    <row r="2" ht="14" customHeight="1">
      <c r="A2" s="166" t="inlineStr">
        <is>
          <t xml:space="preserve">  Nq = Nq₁ + Nq₂     Q95 = Nq + 1.65·√Nq     Q95 (m) = Q95 · car length l     Edit green times and parameters in HCM Input sheet.</t>
        </is>
      </c>
    </row>
    <row r="3" ht="6" customHeight="1"/>
    <row r="4" ht="34" customHeight="1">
      <c r="A4" s="194" t="inlineStr">
        <is>
          <t>Direction</t>
        </is>
      </c>
      <c r="B4" s="194" t="inlineStr">
        <is>
          <t>Period</t>
        </is>
      </c>
      <c r="C4" s="194" t="inlineStr">
        <is>
          <t>Green g
(s)</t>
        </is>
      </c>
      <c r="D4" s="194" t="inlineStr">
        <is>
          <t>Volume v
(veh/h)</t>
        </is>
      </c>
      <c r="E4" s="194" t="inlineStr">
        <is>
          <t>Lanes n</t>
        </is>
      </c>
      <c r="F4" s="194" t="inlineStr">
        <is>
          <t>u = g/C</t>
        </is>
      </c>
      <c r="G4" s="194" t="inlineStr">
        <is>
          <t>Capacity c
(veh/h)</t>
        </is>
      </c>
      <c r="H4" s="194" t="inlineStr">
        <is>
          <t>X = v/c</t>
        </is>
      </c>
      <c r="I4" s="194" t="inlineStr">
        <is>
          <t>Nq₁
(uniform)</t>
        </is>
      </c>
      <c r="J4" s="194" t="inlineStr">
        <is>
          <t>Nq₂
(overflow)</t>
        </is>
      </c>
      <c r="K4" s="194" t="inlineStr">
        <is>
          <t>Nq avg
(veh)</t>
        </is>
      </c>
      <c r="L4" s="194" t="inlineStr">
        <is>
          <t>Q95
(veh)</t>
        </is>
      </c>
      <c r="M4" s="194" t="inlineStr">
        <is>
          <t>Q95
(m)</t>
        </is>
      </c>
    </row>
    <row r="5" ht="18" customHeight="1">
      <c r="A5" s="195" t="inlineStr">
        <is>
          <t>North</t>
        </is>
      </c>
      <c r="B5" s="196" t="inlineStr">
        <is>
          <t>AM</t>
        </is>
      </c>
      <c r="C5" s="197">
        <f>'HCM Input'!$B$6</f>
        <v/>
      </c>
      <c r="D5" s="197">
        <f>'HCM Input'!$B$18</f>
        <v/>
      </c>
      <c r="E5" s="197">
        <f>'HCM Input'!$B$20</f>
        <v/>
      </c>
      <c r="F5" s="198">
        <f>IF('HCM Input'!$B$22=0,0,C5/'HCM Input'!$B$22)</f>
        <v/>
      </c>
      <c r="G5" s="199">
        <f>'HCM Input'!$B$21*E5*F5</f>
        <v/>
      </c>
      <c r="H5" s="198">
        <f>IF(G5=0,0,D5/G5)</f>
        <v/>
      </c>
      <c r="I5" s="200">
        <f>IF(OR(G5=0,D5=0),0,G5*'HCM Input'!$B$22/3600*(1-F5)^2/MAX(0.001,1-MIN(1,H5)*F5))</f>
        <v/>
      </c>
      <c r="J5" s="200">
        <f>IF(OR(G5=0,D5=0),0,900*'HCM Input'!$B$10*((H5-1)+SQRT(MAX(0,(H5-1)^2+8*'HCM Input'!$B$11*'HCM Input'!$B$13*H5/(G5*'HCM Input'!$B$10))))*G5/3600)</f>
        <v/>
      </c>
      <c r="K5" s="200">
        <f>MAX(0,I5+J5)</f>
        <v/>
      </c>
      <c r="L5" s="201">
        <f>K5+1.65*SQRT(MAX(0,K5))</f>
        <v/>
      </c>
      <c r="M5" s="213">
        <f>L5*'HCM Input'!$B$14</f>
        <v/>
      </c>
    </row>
    <row r="6" ht="18" customHeight="1">
      <c r="A6" s="195" t="inlineStr">
        <is>
          <t>North</t>
        </is>
      </c>
      <c r="B6" s="196" t="inlineStr">
        <is>
          <t>PM</t>
        </is>
      </c>
      <c r="C6" s="197">
        <f>'HCM Input'!$B$7</f>
        <v/>
      </c>
      <c r="D6" s="197">
        <f>'HCM Input'!$B$19</f>
        <v/>
      </c>
      <c r="E6" s="197">
        <f>'HCM Input'!$B$20</f>
        <v/>
      </c>
      <c r="F6" s="198">
        <f>IF('HCM Input'!$B$22=0,0,C6/'HCM Input'!$B$22)</f>
        <v/>
      </c>
      <c r="G6" s="199">
        <f>'HCM Input'!$B$21*E6*F6</f>
        <v/>
      </c>
      <c r="H6" s="198">
        <f>IF(G6=0,0,D6/G6)</f>
        <v/>
      </c>
      <c r="I6" s="200">
        <f>IF(OR(G6=0,D6=0),0,G6*'HCM Input'!$B$22/3600*(1-F6)^2/MAX(0.001,1-MIN(1,H6)*F6))</f>
        <v/>
      </c>
      <c r="J6" s="200">
        <f>IF(OR(G6=0,D6=0),0,900*'HCM Input'!$B$10*((H6-1)+SQRT(MAX(0,(H6-1)^2+8*'HCM Input'!$B$11*'HCM Input'!$B$13*H6/(G6*'HCM Input'!$B$10))))*G6/3600)</f>
        <v/>
      </c>
      <c r="K6" s="200">
        <f>MAX(0,I6+J6)</f>
        <v/>
      </c>
      <c r="L6" s="201">
        <f>K6+1.65*SQRT(MAX(0,K6))</f>
        <v/>
      </c>
      <c r="M6" s="213">
        <f>L6*'HCM Input'!$B$14</f>
        <v/>
      </c>
    </row>
    <row r="7" ht="18" customHeight="1">
      <c r="A7" s="203" t="inlineStr">
        <is>
          <t>South</t>
        </is>
      </c>
      <c r="B7" s="204" t="inlineStr">
        <is>
          <t>AM</t>
        </is>
      </c>
      <c r="C7" s="205">
        <f>'HCM Input'!$C$6</f>
        <v/>
      </c>
      <c r="D7" s="205">
        <f>'HCM Input'!$C$18</f>
        <v/>
      </c>
      <c r="E7" s="205">
        <f>'HCM Input'!$C$20</f>
        <v/>
      </c>
      <c r="F7" s="198">
        <f>IF('HCM Input'!$B$22=0,0,C7/'HCM Input'!$B$22)</f>
        <v/>
      </c>
      <c r="G7" s="199">
        <f>'HCM Input'!$B$21*E7*F7</f>
        <v/>
      </c>
      <c r="H7" s="198">
        <f>IF(G7=0,0,D7/G7)</f>
        <v/>
      </c>
      <c r="I7" s="200">
        <f>IF(OR(G7=0,D7=0),0,G7*'HCM Input'!$B$22/3600*(1-F7)^2/MAX(0.001,1-MIN(1,H7)*F7))</f>
        <v/>
      </c>
      <c r="J7" s="200">
        <f>IF(OR(G7=0,D7=0),0,900*'HCM Input'!$B$10*((H7-1)+SQRT(MAX(0,(H7-1)^2+8*'HCM Input'!$B$11*'HCM Input'!$B$13*H7/(G7*'HCM Input'!$B$10))))*G7/3600)</f>
        <v/>
      </c>
      <c r="K7" s="200">
        <f>MAX(0,I7+J7)</f>
        <v/>
      </c>
      <c r="L7" s="201">
        <f>K7+1.65*SQRT(MAX(0,K7))</f>
        <v/>
      </c>
      <c r="M7" s="213">
        <f>L7*'HCM Input'!$B$14</f>
        <v/>
      </c>
    </row>
    <row r="8" ht="18" customHeight="1">
      <c r="A8" s="203" t="inlineStr">
        <is>
          <t>South</t>
        </is>
      </c>
      <c r="B8" s="204" t="inlineStr">
        <is>
          <t>PM</t>
        </is>
      </c>
      <c r="C8" s="205">
        <f>'HCM Input'!$C$7</f>
        <v/>
      </c>
      <c r="D8" s="205">
        <f>'HCM Input'!$C$19</f>
        <v/>
      </c>
      <c r="E8" s="205">
        <f>'HCM Input'!$C$20</f>
        <v/>
      </c>
      <c r="F8" s="198">
        <f>IF('HCM Input'!$B$22=0,0,C8/'HCM Input'!$B$22)</f>
        <v/>
      </c>
      <c r="G8" s="199">
        <f>'HCM Input'!$B$21*E8*F8</f>
        <v/>
      </c>
      <c r="H8" s="198">
        <f>IF(G8=0,0,D8/G8)</f>
        <v/>
      </c>
      <c r="I8" s="200">
        <f>IF(OR(G8=0,D8=0),0,G8*'HCM Input'!$B$22/3600*(1-F8)^2/MAX(0.001,1-MIN(1,H8)*F8))</f>
        <v/>
      </c>
      <c r="J8" s="200">
        <f>IF(OR(G8=0,D8=0),0,900*'HCM Input'!$B$10*((H8-1)+SQRT(MAX(0,(H8-1)^2+8*'HCM Input'!$B$11*'HCM Input'!$B$13*H8/(G8*'HCM Input'!$B$10))))*G8/3600)</f>
        <v/>
      </c>
      <c r="K8" s="200">
        <f>MAX(0,I8+J8)</f>
        <v/>
      </c>
      <c r="L8" s="201">
        <f>K8+1.65*SQRT(MAX(0,K8))</f>
        <v/>
      </c>
      <c r="M8" s="213">
        <f>L8*'HCM Input'!$B$14</f>
        <v/>
      </c>
    </row>
    <row r="9" ht="18" customHeight="1">
      <c r="A9" s="206" t="inlineStr">
        <is>
          <t>East</t>
        </is>
      </c>
      <c r="B9" s="207" t="inlineStr">
        <is>
          <t>AM</t>
        </is>
      </c>
      <c r="C9" s="208">
        <f>'HCM Input'!$D$6</f>
        <v/>
      </c>
      <c r="D9" s="208">
        <f>'HCM Input'!$D$18</f>
        <v/>
      </c>
      <c r="E9" s="208">
        <f>'HCM Input'!$D$20</f>
        <v/>
      </c>
      <c r="F9" s="198">
        <f>IF('HCM Input'!$B$22=0,0,C9/'HCM Input'!$B$22)</f>
        <v/>
      </c>
      <c r="G9" s="199">
        <f>'HCM Input'!$B$21*E9*F9</f>
        <v/>
      </c>
      <c r="H9" s="198">
        <f>IF(G9=0,0,D9/G9)</f>
        <v/>
      </c>
      <c r="I9" s="200">
        <f>IF(OR(G9=0,D9=0),0,G9*'HCM Input'!$B$22/3600*(1-F9)^2/MAX(0.001,1-MIN(1,H9)*F9))</f>
        <v/>
      </c>
      <c r="J9" s="200">
        <f>IF(OR(G9=0,D9=0),0,900*'HCM Input'!$B$10*((H9-1)+SQRT(MAX(0,(H9-1)^2+8*'HCM Input'!$B$11*'HCM Input'!$B$13*H9/(G9*'HCM Input'!$B$10))))*G9/3600)</f>
        <v/>
      </c>
      <c r="K9" s="200">
        <f>MAX(0,I9+J9)</f>
        <v/>
      </c>
      <c r="L9" s="201">
        <f>K9+1.65*SQRT(MAX(0,K9))</f>
        <v/>
      </c>
      <c r="M9" s="213">
        <f>L9*'HCM Input'!$B$14</f>
        <v/>
      </c>
    </row>
    <row r="10" ht="18" customHeight="1">
      <c r="A10" s="206" t="inlineStr">
        <is>
          <t>East</t>
        </is>
      </c>
      <c r="B10" s="207" t="inlineStr">
        <is>
          <t>PM</t>
        </is>
      </c>
      <c r="C10" s="208">
        <f>'HCM Input'!$D$7</f>
        <v/>
      </c>
      <c r="D10" s="208">
        <f>'HCM Input'!$D$19</f>
        <v/>
      </c>
      <c r="E10" s="208">
        <f>'HCM Input'!$D$20</f>
        <v/>
      </c>
      <c r="F10" s="198">
        <f>IF('HCM Input'!$B$22=0,0,C10/'HCM Input'!$B$22)</f>
        <v/>
      </c>
      <c r="G10" s="199">
        <f>'HCM Input'!$B$21*E10*F10</f>
        <v/>
      </c>
      <c r="H10" s="198">
        <f>IF(G10=0,0,D10/G10)</f>
        <v/>
      </c>
      <c r="I10" s="200">
        <f>IF(OR(G10=0,D10=0),0,G10*'HCM Input'!$B$22/3600*(1-F10)^2/MAX(0.001,1-MIN(1,H10)*F10))</f>
        <v/>
      </c>
      <c r="J10" s="200">
        <f>IF(OR(G10=0,D10=0),0,900*'HCM Input'!$B$10*((H10-1)+SQRT(MAX(0,(H10-1)^2+8*'HCM Input'!$B$11*'HCM Input'!$B$13*H10/(G10*'HCM Input'!$B$10))))*G10/3600)</f>
        <v/>
      </c>
      <c r="K10" s="200">
        <f>MAX(0,I10+J10)</f>
        <v/>
      </c>
      <c r="L10" s="201">
        <f>K10+1.65*SQRT(MAX(0,K10))</f>
        <v/>
      </c>
      <c r="M10" s="213">
        <f>L10*'HCM Input'!$B$14</f>
        <v/>
      </c>
    </row>
    <row r="11" ht="18" customHeight="1">
      <c r="A11" s="209" t="inlineStr">
        <is>
          <t>West</t>
        </is>
      </c>
      <c r="B11" s="210" t="inlineStr">
        <is>
          <t>AM</t>
        </is>
      </c>
      <c r="C11" s="211">
        <f>'HCM Input'!$E$6</f>
        <v/>
      </c>
      <c r="D11" s="211">
        <f>'HCM Input'!$E$18</f>
        <v/>
      </c>
      <c r="E11" s="211">
        <f>'HCM Input'!$E$20</f>
        <v/>
      </c>
      <c r="F11" s="198">
        <f>IF('HCM Input'!$B$22=0,0,C11/'HCM Input'!$B$22)</f>
        <v/>
      </c>
      <c r="G11" s="199">
        <f>'HCM Input'!$B$21*E11*F11</f>
        <v/>
      </c>
      <c r="H11" s="198">
        <f>IF(G11=0,0,D11/G11)</f>
        <v/>
      </c>
      <c r="I11" s="200">
        <f>IF(OR(G11=0,D11=0),0,G11*'HCM Input'!$B$22/3600*(1-F11)^2/MAX(0.001,1-MIN(1,H11)*F11))</f>
        <v/>
      </c>
      <c r="J11" s="200">
        <f>IF(OR(G11=0,D11=0),0,900*'HCM Input'!$B$10*((H11-1)+SQRT(MAX(0,(H11-1)^2+8*'HCM Input'!$B$11*'HCM Input'!$B$13*H11/(G11*'HCM Input'!$B$10))))*G11/3600)</f>
        <v/>
      </c>
      <c r="K11" s="200">
        <f>MAX(0,I11+J11)</f>
        <v/>
      </c>
      <c r="L11" s="201">
        <f>K11+1.65*SQRT(MAX(0,K11))</f>
        <v/>
      </c>
      <c r="M11" s="213">
        <f>L11*'HCM Input'!$B$14</f>
        <v/>
      </c>
    </row>
    <row r="12" ht="18" customHeight="1">
      <c r="A12" s="209" t="inlineStr">
        <is>
          <t>West</t>
        </is>
      </c>
      <c r="B12" s="210" t="inlineStr">
        <is>
          <t>PM</t>
        </is>
      </c>
      <c r="C12" s="211">
        <f>'HCM Input'!$E$7</f>
        <v/>
      </c>
      <c r="D12" s="211">
        <f>'HCM Input'!$E$19</f>
        <v/>
      </c>
      <c r="E12" s="211">
        <f>'HCM Input'!$E$20</f>
        <v/>
      </c>
      <c r="F12" s="198">
        <f>IF('HCM Input'!$B$22=0,0,C12/'HCM Input'!$B$22)</f>
        <v/>
      </c>
      <c r="G12" s="199">
        <f>'HCM Input'!$B$21*E12*F12</f>
        <v/>
      </c>
      <c r="H12" s="198">
        <f>IF(G12=0,0,D12/G12)</f>
        <v/>
      </c>
      <c r="I12" s="200">
        <f>IF(OR(G12=0,D12=0),0,G12*'HCM Input'!$B$22/3600*(1-F12)^2/MAX(0.001,1-MIN(1,H12)*F12))</f>
        <v/>
      </c>
      <c r="J12" s="200">
        <f>IF(OR(G12=0,D12=0),0,900*'HCM Input'!$B$10*((H12-1)+SQRT(MAX(0,(H12-1)^2+8*'HCM Input'!$B$11*'HCM Input'!$B$13*H12/(G12*'HCM Input'!$B$10))))*G12/3600)</f>
        <v/>
      </c>
      <c r="K12" s="200">
        <f>MAX(0,I12+J12)</f>
        <v/>
      </c>
      <c r="L12" s="201">
        <f>K12+1.65*SQRT(MAX(0,K12))</f>
        <v/>
      </c>
      <c r="M12" s="213">
        <f>L12*'HCM Input'!$B$14</f>
        <v/>
      </c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omri matar</dc:creator>
  <dcterms:created xmlns:dcterms="http://purl.org/dc/terms/" xmlns:xsi="http://www.w3.org/2001/XMLSchema-instance" xsi:type="dcterms:W3CDTF">2019-08-22T10:02:15Z</dcterms:created>
  <dcterms:modified xmlns:dcterms="http://purl.org/dc/terms/" xmlns:xsi="http://www.w3.org/2001/XMLSchema-instance" xsi:type="dcterms:W3CDTF">2026-03-24T19:35:24Z</dcterms:modified>
  <cp:lastModifiedBy>Omri Matar</cp:lastModifiedBy>
</cp:coreProperties>
</file>